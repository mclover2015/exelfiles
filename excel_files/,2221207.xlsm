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ЦяКнига" defaultThemeVersion="164011"/>
  <mc:AlternateContent xmlns:mc="http://schemas.openxmlformats.org/markup-compatibility/2006">
    <mc:Choice Requires="x15">
      <x15ac:absPath xmlns:x15ac="http://schemas.microsoft.com/office/spreadsheetml/2010/11/ac" url="\\KADB-00-01\KredAnaliz_Documents\Вика доки\ф\1308\"/>
    </mc:Choice>
  </mc:AlternateContent>
  <workbookProtection workbookAlgorithmName="SHA-512" workbookHashValue="NRmSDV2lp5kLeclab1Mzm7F4EerJAfoEbxPwuFjfZEKprcDkyWIFCAC0rG2jSgFhnNI5NEKGUnCG5wtUWDN+fg==" workbookSaltValue="qPTSSM8Yv8tgNa/lkzbKFQ==" workbookSpinCount="100000" lockStructure="1"/>
  <bookViews>
    <workbookView xWindow="0" yWindow="0" windowWidth="18960" windowHeight="5430"/>
  </bookViews>
  <sheets>
    <sheet name="Кредитна заявка" sheetId="1" r:id="rId1"/>
    <sheet name="dicts" sheetId="4" state="hidden" r:id="rId2"/>
  </sheets>
  <functionGroups builtInGroupCount="18"/>
  <definedNames>
    <definedName name="Addresses">'Кредитна заявка'!$K$39:$S$40</definedName>
    <definedName name="Age">'Кредитна заявка'!$R$27</definedName>
    <definedName name="ageEnd">'Кредитна заявка'!$T$27</definedName>
    <definedName name="AppDT">'Кредитна заявка'!$O$18</definedName>
    <definedName name="ApplicationId">'Кредитна заявка'!$L$18</definedName>
    <definedName name="appr_AdvancePers">#REF!</definedName>
    <definedName name="appr_AdvanceUAH">#REF!</definedName>
    <definedName name="appr_ApplicationId">#REF!</definedName>
    <definedName name="appr_Collateral">#REF!</definedName>
    <definedName name="appr_Conditions">#REF!</definedName>
    <definedName name="appr_Contact">#REF!</definedName>
    <definedName name="appr_LoanAmount">#REF!</definedName>
    <definedName name="appr_Rate">#REF!</definedName>
    <definedName name="appr_TaxNumber">#REF!</definedName>
    <definedName name="appr_Term">#REF!</definedName>
    <definedName name="areActRecords">'Кредитна заявка'!$P$27</definedName>
    <definedName name="birthDate">'Кредитна заявка'!$W$26</definedName>
    <definedName name="category">'Кредитна заявка'!$L$28</definedName>
    <definedName name="CH_part1">'Кредитна заявка'!#REF!</definedName>
    <definedName name="CH_part2">'Кредитна заявка'!#REF!</definedName>
    <definedName name="CH_part3">'Кредитна заявка'!#REF!</definedName>
    <definedName name="children">'Кредитна заявка'!$K$45:$O$49</definedName>
    <definedName name="childrenNumber">'Кредитна заявка'!$L$43</definedName>
    <definedName name="currentExp">'Кредитна заявка'!$V$51</definedName>
    <definedName name="dict_Activities">dicts!$A$1:$C$23</definedName>
    <definedName name="dict_products">dicts!$A$62:$B$67</definedName>
    <definedName name="dict_Regions">dicts!$A$31:$E$59</definedName>
    <definedName name="email">'Кредитна заявка'!$T$28</definedName>
    <definedName name="existConditions">'Кредитна заявка'!$M$14</definedName>
    <definedName name="existDecision">'Кредитна заявка'!$M$13</definedName>
    <definedName name="ExistingLoans">'Кредитна заявка'!#REF!</definedName>
    <definedName name="family_OTI">'Кредитна заявка'!#REF!</definedName>
    <definedName name="firstName">'Кредитна заявка'!$O$26</definedName>
    <definedName name="Incomes">'Кредитна заявка'!$L$53:$Q$54</definedName>
    <definedName name="isCreditHistory">'Кредитна заявка'!$U$29</definedName>
    <definedName name="isMortgage">'Кредитна заявка'!$M$29</definedName>
    <definedName name="isPhoneCalls">'Кредитна заявка'!$O$29</definedName>
    <definedName name="isSendData">'Кредитна заявка'!$R$29</definedName>
    <definedName name="lastName">'Кредитна заявка'!$L$26</definedName>
    <definedName name="lastPaym">'Кредитна заявка'!$T$51</definedName>
    <definedName name="maritalStatus">'Кредитна заявка'!$L$27</definedName>
    <definedName name="middleName">'Кредитна заявка'!$Q$26</definedName>
    <definedName name="Nationality">'Кредитна заявка'!$V$27</definedName>
    <definedName name="OTI">'Кредитна заявка'!#REF!</definedName>
    <definedName name="Passposts">'Кредитна заявка'!$K$32:$T$36</definedName>
    <definedName name="pensAmount">'Кредитна заявка'!$Q$56</definedName>
    <definedName name="pensEnd">'Кредитна заявка'!$S$56</definedName>
    <definedName name="pensLast">'Кредитна заявка'!$V$56</definedName>
    <definedName name="pensStart">'Кредитна заявка'!$O$56</definedName>
    <definedName name="pensType">'Кредитна заявка'!$L$56</definedName>
    <definedName name="persVKR_B">'Кредитна заявка'!#REF!</definedName>
    <definedName name="persVKR_F">'Кредитна заявка'!#REF!</definedName>
    <definedName name="phoneNumber">'Кредитна заявка'!$T$26</definedName>
    <definedName name="Property">'Кредитна заявка'!$K$83:$V$110</definedName>
    <definedName name="rej_ApplicationId">#REF!</definedName>
    <definedName name="rej_Code">#REF!</definedName>
    <definedName name="rej_Description">#REF!</definedName>
    <definedName name="rej_Reason">#REF!</definedName>
    <definedName name="rej_Reason_UKR">#REF!</definedName>
    <definedName name="rej_TaxNumber">#REF!</definedName>
    <definedName name="reqAdvancePers">'Кредитна заявка'!$M$20</definedName>
    <definedName name="reqAdvanceUAH">'Кредитна заявка'!$L$20</definedName>
    <definedName name="reqCollateral">'Кредитна заявка'!$K$20</definedName>
    <definedName name="reqCollateralCity">'Кредитна заявка'!$S$20</definedName>
    <definedName name="reqCollateralDistrict">'Кредитна заявка'!$R$20</definedName>
    <definedName name="reqCollateralRegion">'Кредитна заявка'!$Q$20</definedName>
    <definedName name="reqIR">'Кредитна заявка'!$O$20</definedName>
    <definedName name="reqLoanAmount">'Кредитна заявка'!$N$20</definedName>
    <definedName name="reqLoanType">'Кредитна заявка'!$P$20</definedName>
    <definedName name="resAdvancePers">'Кредитна заявка'!$M$23</definedName>
    <definedName name="resAdvanceUAH">'Кредитна заявка'!$L$23</definedName>
    <definedName name="resLoanAmount">'Кредитна заявка'!$N$23</definedName>
    <definedName name="resTerm">'Кредитна заявка'!$O$23</definedName>
    <definedName name="Score_Chpp">#REF!</definedName>
    <definedName name="Score_Chps">#REF!</definedName>
    <definedName name="Score_Dp">#REF!</definedName>
    <definedName name="Score_Kpp">#REF!</definedName>
    <definedName name="Score_Kps">#REF!</definedName>
    <definedName name="Score_Lpp">#REF!</definedName>
    <definedName name="Score_Mp">#REF!</definedName>
    <definedName name="Score_P">#REF!</definedName>
    <definedName name="Score_Pchds">#REF!</definedName>
    <definedName name="Score_Pchpd">#REF!</definedName>
    <definedName name="Score_Pja">#REF!</definedName>
    <definedName name="Score_Pr">#REF!</definedName>
    <definedName name="Score_Rb">#REF!</definedName>
    <definedName name="Score_Sm">#REF!</definedName>
    <definedName name="Score_VKR">#REF!</definedName>
    <definedName name="Score_Vpk">#REF!</definedName>
    <definedName name="Score_Zs">#REF!</definedName>
    <definedName name="searchApp">'Кредитна заявка'!$L$11</definedName>
    <definedName name="spouse_Addresses">'Кредитна заявка'!$K$70:$S$71</definedName>
    <definedName name="spouse_Age">'Кредитна заявка'!$R$59</definedName>
    <definedName name="spouse_AgeEnd">'Кредитна заявка'!$T$59</definedName>
    <definedName name="spouse_areActRecords">'Кредитна заявка'!$U$58</definedName>
    <definedName name="spouse_birthDate">'Кредитна заявка'!$P$58</definedName>
    <definedName name="spouse_currentExp">'Кредитна заявка'!$O$74</definedName>
    <definedName name="spouse_email">'Кредитна заявка'!$O$59</definedName>
    <definedName name="spouse_firstName">'Кредитна заявка'!$M$58</definedName>
    <definedName name="spouse_Incomes">'Кредитна заявка'!$L$76:$Q$77</definedName>
    <definedName name="spouse_isCreditHistory">'Кредитна заявка'!$T$60</definedName>
    <definedName name="spouse_isMortgage">'Кредитна заявка'!$M$60</definedName>
    <definedName name="spouse_isPhoneCalls">'Кредитна заявка'!$O$60</definedName>
    <definedName name="spouse_isSendData">'Кредитна заявка'!$R$60</definedName>
    <definedName name="spouse_lastName">'Кредитна заявка'!$L$58</definedName>
    <definedName name="spouse_lastPaym">'Кредитна заявка'!$M$74</definedName>
    <definedName name="spouse_middleName">'Кредитна заявка'!$N$58</definedName>
    <definedName name="spouse_Nationality">'Кредитна заявка'!$V$59</definedName>
    <definedName name="spouse_Passposts">'Кредитна заявка'!$K$63:$R$67</definedName>
    <definedName name="spouse_pensAmount">'Кредитна заявка'!$Q$79</definedName>
    <definedName name="spouse_pensEnd">'Кредитна заявка'!$S$79</definedName>
    <definedName name="spouse_pensLast">'Кредитна заявка'!$V$79</definedName>
    <definedName name="spouse_pensStart">'Кредитна заявка'!$O$79</definedName>
    <definedName name="spouse_pensType">'Кредитна заявка'!$L$79</definedName>
    <definedName name="spouse_phoneNumber">'Кредитна заявка'!$L$59</definedName>
    <definedName name="spouse_taxNumber">'Кредитна заявка'!$R$58</definedName>
    <definedName name="subcategory">'Кредитна заявка'!$M$28</definedName>
    <definedName name="taxNumber">'Кредитна заявка'!$R$28</definedName>
    <definedName name="TotalExpDay">'Кредитна заявка'!$Q$51</definedName>
    <definedName name="totalExpMonth">'Кредитна заявка'!$O$51</definedName>
    <definedName name="totalExpYears">'Кредитна заявка'!$M$51</definedName>
    <definedName name="Utilities">'Кредитна заявка'!#REF!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" i="1" l="1"/>
  <c r="R54" i="1" l="1"/>
  <c r="R77" i="1"/>
  <c r="T111" i="1" l="1"/>
  <c r="T59" i="1"/>
  <c r="T27" i="1"/>
  <c r="R27" i="1"/>
  <c r="R59" i="1"/>
  <c r="X84" i="1" l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83" i="1"/>
  <c r="W84" i="1" l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83" i="1"/>
  <c r="M111" i="1" l="1"/>
  <c r="N20" i="1"/>
  <c r="M20" i="1"/>
</calcChain>
</file>

<file path=xl/sharedStrings.xml><?xml version="1.0" encoding="utf-8"?>
<sst xmlns="http://schemas.openxmlformats.org/spreadsheetml/2006/main" count="346" uniqueCount="228">
  <si>
    <t>РНОКПП</t>
  </si>
  <si>
    <t>Серія</t>
  </si>
  <si>
    <t>Номер</t>
  </si>
  <si>
    <t>Дата видачі</t>
  </si>
  <si>
    <t>Орган, що видав</t>
  </si>
  <si>
    <t>Назва області</t>
  </si>
  <si>
    <t>дата народження</t>
  </si>
  <si>
    <t>тип об'єкта</t>
  </si>
  <si>
    <t>загальна площа</t>
  </si>
  <si>
    <t>частка власності</t>
  </si>
  <si>
    <t>номер телефона</t>
  </si>
  <si>
    <t>електронна адреса</t>
  </si>
  <si>
    <t>вартість житла</t>
  </si>
  <si>
    <t>Інформація про клієнта</t>
  </si>
  <si>
    <t>інформація другого члена сімї</t>
  </si>
  <si>
    <t>сума кредиту</t>
  </si>
  <si>
    <t>% ставка</t>
  </si>
  <si>
    <t>Номер заявки</t>
  </si>
  <si>
    <t>Адреси</t>
  </si>
  <si>
    <t>Тип адреси</t>
  </si>
  <si>
    <t>Власність</t>
  </si>
  <si>
    <t>Сімейний стан</t>
  </si>
  <si>
    <t>Діти</t>
  </si>
  <si>
    <t>Доходи</t>
  </si>
  <si>
    <t>Загальний стаж</t>
  </si>
  <si>
    <t>Місяць</t>
  </si>
  <si>
    <t>Дохід</t>
  </si>
  <si>
    <t>Адреса</t>
  </si>
  <si>
    <t>ПІБ</t>
  </si>
  <si>
    <t>Категорія</t>
  </si>
  <si>
    <t>Документи</t>
  </si>
  <si>
    <t>Тип документу</t>
  </si>
  <si>
    <t>Діє до</t>
  </si>
  <si>
    <t>Рішення (якщо наявне)</t>
  </si>
  <si>
    <t>Умови/причини відмов</t>
  </si>
  <si>
    <t>Запитувані умови</t>
  </si>
  <si>
    <t>Область іпотеки</t>
  </si>
  <si>
    <t>Населений пункт</t>
  </si>
  <si>
    <t>Розраховані умови</t>
  </si>
  <si>
    <t>Термін</t>
  </si>
  <si>
    <t>Загалом</t>
  </si>
  <si>
    <t>Власник</t>
  </si>
  <si>
    <t>аванс, грн.</t>
  </si>
  <si>
    <t>аванс,%</t>
  </si>
  <si>
    <t>Поточний стаж</t>
  </si>
  <si>
    <t xml:space="preserve">прізвище </t>
  </si>
  <si>
    <t>ім'я</t>
  </si>
  <si>
    <t>по батькові</t>
  </si>
  <si>
    <t>Заявка</t>
  </si>
  <si>
    <t>від</t>
  </si>
  <si>
    <t>Район</t>
  </si>
  <si>
    <t>м.Київ</t>
  </si>
  <si>
    <t>Підкатегорія</t>
  </si>
  <si>
    <t>Назва</t>
  </si>
  <si>
    <t>contractServiceman</t>
  </si>
  <si>
    <t>Військовослужбовці Збройних Сил за контрактом</t>
  </si>
  <si>
    <t>Військовий</t>
  </si>
  <si>
    <t>securityService</t>
  </si>
  <si>
    <t>Служби безпеки</t>
  </si>
  <si>
    <t>foreignIntelligenceService</t>
  </si>
  <si>
    <t>Служби зовнішньої розвідки</t>
  </si>
  <si>
    <t>intelligenceMainDirectorate</t>
  </si>
  <si>
    <t>Головного управління розвідки Міністерства оборони</t>
  </si>
  <si>
    <t>nationalGuard</t>
  </si>
  <si>
    <t>Національної гвардії</t>
  </si>
  <si>
    <t>stateBorderService</t>
  </si>
  <si>
    <t>Державної прикордонної служби</t>
  </si>
  <si>
    <t>stateSecurityDepartment</t>
  </si>
  <si>
    <t>Управління державної охорони</t>
  </si>
  <si>
    <t>specialCommunicationsStateService</t>
  </si>
  <si>
    <t>Державної служби спеціального зв’язку та захисту інформації</t>
  </si>
  <si>
    <t>specialTransportStateService</t>
  </si>
  <si>
    <t>Державної спеціальної служби транспорту</t>
  </si>
  <si>
    <t>militaryProsecutor</t>
  </si>
  <si>
    <t>Військові прокурори Офісу Генерального прокурора</t>
  </si>
  <si>
    <t>emergencySituationsStateService</t>
  </si>
  <si>
    <t>Особи рядового і начальницького складу Державної служби з надзвичайних ситуацій</t>
  </si>
  <si>
    <t>courtSecurityService</t>
  </si>
  <si>
    <t>Співробітники Служби судової охорони</t>
  </si>
  <si>
    <t>nationalAntiCorruptionBureau</t>
  </si>
  <si>
    <t>Особи начальницького складу управління спеціальних операцій Національного антикорупційного бюро</t>
  </si>
  <si>
    <t>policeman</t>
  </si>
  <si>
    <t>Поліцейські</t>
  </si>
  <si>
    <t>powerBlockFamilyMember</t>
  </si>
  <si>
    <t>Члени сімей силового блоку</t>
  </si>
  <si>
    <t>medicalWorker</t>
  </si>
  <si>
    <t>Медичні працівники (фахівці та професіонали) закладів охорони здоров’я державної або комунальної форми власності</t>
  </si>
  <si>
    <t>Медик</t>
  </si>
  <si>
    <t>pedagogicalWorker</t>
  </si>
  <si>
    <t>Педагогічні працівники закладів освіти державної або комунальної форми власності</t>
  </si>
  <si>
    <t>Педагог</t>
  </si>
  <si>
    <t>scientificWorker</t>
  </si>
  <si>
    <t>Наукові (науково-педагогічні) працівники закладів освіти та наукових установ державної або комунальної форми власності</t>
  </si>
  <si>
    <t>Науковець</t>
  </si>
  <si>
    <t>ЄДДР</t>
  </si>
  <si>
    <t>Кількість</t>
  </si>
  <si>
    <t>р.</t>
  </si>
  <si>
    <t>міс.</t>
  </si>
  <si>
    <t>дн.</t>
  </si>
  <si>
    <t>останній платіж</t>
  </si>
  <si>
    <t>Наявність записів ДРАЦ</t>
  </si>
  <si>
    <t>Наявність діючої пільгової іпотеки</t>
  </si>
  <si>
    <t>Дозвіл на дзвінки</t>
  </si>
  <si>
    <t>згода на відправку даних</t>
  </si>
  <si>
    <t>згода на перевірку в БКІ</t>
  </si>
  <si>
    <t>пенсіонер</t>
  </si>
  <si>
    <t>Дата призначення</t>
  </si>
  <si>
    <t>Розмір</t>
  </si>
  <si>
    <t>Дата закінчення</t>
  </si>
  <si>
    <t>Останнє зарахування</t>
  </si>
  <si>
    <t>Джерело</t>
  </si>
  <si>
    <t>Обтяження?</t>
  </si>
  <si>
    <t>Площа вл.</t>
  </si>
  <si>
    <t>Чи врах.</t>
  </si>
  <si>
    <t>Області</t>
  </si>
  <si>
    <t>Нормативна оцінка</t>
  </si>
  <si>
    <t>Україна</t>
  </si>
  <si>
    <t>Автономна Республіка Крим</t>
  </si>
  <si>
    <t>Red</t>
  </si>
  <si>
    <t>Yellow</t>
  </si>
  <si>
    <t>Green</t>
  </si>
  <si>
    <t>Зона_кредитування</t>
  </si>
  <si>
    <t>Зона_власність</t>
  </si>
  <si>
    <t>Контакт</t>
  </si>
  <si>
    <t>Вік</t>
  </si>
  <si>
    <t>Вік на дату погашення</t>
  </si>
  <si>
    <t>Площа, що врахувалася</t>
  </si>
  <si>
    <t>Допустима площа власності за програмою</t>
  </si>
  <si>
    <t>Громадянство</t>
  </si>
  <si>
    <t>Продукт</t>
  </si>
  <si>
    <t>іпотечний кредит</t>
  </si>
  <si>
    <t>кредит на купівлю авто</t>
  </si>
  <si>
    <t>споживчий кредит</t>
  </si>
  <si>
    <t>Кредитна карта</t>
  </si>
  <si>
    <t>Кредит ММСБ</t>
  </si>
  <si>
    <t>powerBlock</t>
  </si>
  <si>
    <t>Захисники України, силовий блок та члени їх сімей</t>
  </si>
  <si>
    <t>назва області/м.Київ</t>
  </si>
  <si>
    <t>Вінницька обл.</t>
  </si>
  <si>
    <t>Волинська обл.</t>
  </si>
  <si>
    <t>Дніпропетровська обл.</t>
  </si>
  <si>
    <t>Донецька обл.</t>
  </si>
  <si>
    <t>Житомирська обл.</t>
  </si>
  <si>
    <t>Закарпатська обл.</t>
  </si>
  <si>
    <t>Запорізька обл.</t>
  </si>
  <si>
    <t>Івано-Франківська обл.</t>
  </si>
  <si>
    <t>Київська обл.</t>
  </si>
  <si>
    <t>Кіровоградська обл.</t>
  </si>
  <si>
    <t>Луганська обл.</t>
  </si>
  <si>
    <t>Львівська обл.</t>
  </si>
  <si>
    <t>м.Севастополь.</t>
  </si>
  <si>
    <t>Миколаївська обл.</t>
  </si>
  <si>
    <t>Одеська обл.</t>
  </si>
  <si>
    <t>Полтавська обл.</t>
  </si>
  <si>
    <t>Рівненська обл.</t>
  </si>
  <si>
    <t>Сумська обл.</t>
  </si>
  <si>
    <t>Тернопільська обл.</t>
  </si>
  <si>
    <t>Харківська обл.</t>
  </si>
  <si>
    <t>Херсонська обл.</t>
  </si>
  <si>
    <t>Хмельницька обл.</t>
  </si>
  <si>
    <t>Черкаська обл.</t>
  </si>
  <si>
    <t>Чернівецька обл.</t>
  </si>
  <si>
    <t>Чернігівська обл.</t>
  </si>
  <si>
    <r>
      <t> </t>
    </r>
    <r>
      <rPr>
        <sz val="11"/>
        <color theme="1"/>
        <rFont val="Calibri"/>
        <family val="2"/>
        <charset val="204"/>
      </rPr>
      <t>Юлія Вячеславівна 050-451-03-00</t>
    </r>
  </si>
  <si>
    <r>
      <t> </t>
    </r>
    <r>
      <rPr>
        <sz val="11"/>
        <color theme="1"/>
        <rFont val="Calibri"/>
        <family val="2"/>
        <charset val="204"/>
      </rPr>
      <t>Алла Олександрівна 099-645-20-98</t>
    </r>
  </si>
  <si>
    <r>
      <t> </t>
    </r>
    <r>
      <rPr>
        <sz val="11"/>
        <color theme="1"/>
        <rFont val="Calibri"/>
        <family val="2"/>
        <charset val="204"/>
      </rPr>
      <t>Олена Олександрівна 067-620-46-13</t>
    </r>
  </si>
  <si>
    <r>
      <t> </t>
    </r>
    <r>
      <rPr>
        <sz val="11"/>
        <color theme="1"/>
        <rFont val="Calibri"/>
        <family val="2"/>
        <charset val="204"/>
      </rPr>
      <t>Олена Павлівна 063-282-09-33</t>
    </r>
  </si>
  <si>
    <r>
      <t> </t>
    </r>
    <r>
      <rPr>
        <sz val="11"/>
        <color theme="1"/>
        <rFont val="Calibri"/>
        <family val="2"/>
        <charset val="204"/>
      </rPr>
      <t>Ярослав Михайлович 095-576-58-80</t>
    </r>
  </si>
  <si>
    <r>
      <t> </t>
    </r>
    <r>
      <rPr>
        <sz val="11"/>
        <color theme="1"/>
        <rFont val="Calibri"/>
        <family val="2"/>
        <charset val="204"/>
      </rPr>
      <t>Владислав Миколайович 067-612-88-82</t>
    </r>
  </si>
  <si>
    <r>
      <t> </t>
    </r>
    <r>
      <rPr>
        <sz val="11"/>
        <color theme="1"/>
        <rFont val="Calibri"/>
        <family val="2"/>
        <charset val="204"/>
      </rPr>
      <t>Людмила Іванівна 066-724-68-84</t>
    </r>
  </si>
  <si>
    <r>
      <t> </t>
    </r>
    <r>
      <rPr>
        <sz val="11"/>
        <color theme="1"/>
        <rFont val="Calibri"/>
        <family val="2"/>
        <charset val="204"/>
      </rPr>
      <t>Ірина Миколаївна 050-903-47-13</t>
    </r>
  </si>
  <si>
    <r>
      <t> </t>
    </r>
    <r>
      <rPr>
        <sz val="11"/>
        <color theme="1"/>
        <rFont val="Calibri"/>
        <family val="2"/>
        <charset val="204"/>
      </rPr>
      <t>Вікторія Вікторівна 050-912-45-69</t>
    </r>
  </si>
  <si>
    <r>
      <t> </t>
    </r>
    <r>
      <rPr>
        <sz val="11"/>
        <color theme="1"/>
        <rFont val="Calibri"/>
        <family val="2"/>
        <charset val="204"/>
      </rPr>
      <t>Андрій Михайлович 067-313-88-77</t>
    </r>
  </si>
  <si>
    <r>
      <t> </t>
    </r>
    <r>
      <rPr>
        <sz val="11"/>
        <color theme="1"/>
        <rFont val="Calibri"/>
        <family val="2"/>
        <charset val="204"/>
      </rPr>
      <t>Андрій Сергійович 098-064-00-50</t>
    </r>
  </si>
  <si>
    <r>
      <t> </t>
    </r>
    <r>
      <rPr>
        <sz val="11"/>
        <color theme="1"/>
        <rFont val="Calibri"/>
        <family val="2"/>
        <charset val="204"/>
      </rPr>
      <t>Володимир Геннадійович 096-102-73-36</t>
    </r>
  </si>
  <si>
    <r>
      <t> </t>
    </r>
    <r>
      <rPr>
        <sz val="11"/>
        <color theme="1"/>
        <rFont val="Calibri"/>
        <family val="2"/>
        <charset val="204"/>
      </rPr>
      <t>Костянтин Володимирович 066-669-47-89</t>
    </r>
  </si>
  <si>
    <r>
      <t> </t>
    </r>
    <r>
      <rPr>
        <sz val="11"/>
        <color theme="1"/>
        <rFont val="Calibri"/>
        <family val="2"/>
        <charset val="204"/>
      </rPr>
      <t>Руслана Степанівна 067-990-68-52</t>
    </r>
  </si>
  <si>
    <r>
      <t> </t>
    </r>
    <r>
      <rPr>
        <sz val="11"/>
        <color theme="1"/>
        <rFont val="Calibri"/>
        <family val="2"/>
        <charset val="204"/>
      </rPr>
      <t>Дмитро Олексійович 050-598-55-73</t>
    </r>
  </si>
  <si>
    <r>
      <t> </t>
    </r>
    <r>
      <rPr>
        <sz val="11"/>
        <color theme="1"/>
        <rFont val="Calibri"/>
        <family val="2"/>
        <charset val="204"/>
      </rPr>
      <t>Костянтин Валерійович 095-552-15-94</t>
    </r>
  </si>
  <si>
    <r>
      <t> </t>
    </r>
    <r>
      <rPr>
        <sz val="11"/>
        <color theme="1"/>
        <rFont val="Calibri"/>
        <family val="2"/>
        <charset val="204"/>
      </rPr>
      <t>Олександр Сергійович 068-390-56-45</t>
    </r>
  </si>
  <si>
    <r>
      <t> </t>
    </r>
    <r>
      <rPr>
        <sz val="11"/>
        <color theme="1"/>
        <rFont val="Calibri"/>
        <family val="2"/>
        <charset val="204"/>
      </rPr>
      <t>Тетяна Іванівна 097-536-06-70</t>
    </r>
  </si>
  <si>
    <r>
      <t> </t>
    </r>
    <r>
      <rPr>
        <sz val="11"/>
        <color theme="1"/>
        <rFont val="Calibri"/>
        <family val="2"/>
        <charset val="204"/>
      </rPr>
      <t>Наталія Миколаївна 093-460-88-65</t>
    </r>
  </si>
  <si>
    <r>
      <t> </t>
    </r>
    <r>
      <rPr>
        <sz val="11"/>
        <color theme="1"/>
        <rFont val="Calibri"/>
        <family val="2"/>
        <charset val="204"/>
      </rPr>
      <t>Максим Миколайович 095-814-35-26</t>
    </r>
  </si>
  <si>
    <r>
      <t>Юлія Русланівна</t>
    </r>
    <r>
      <rPr>
        <sz val="11"/>
        <color theme="1"/>
        <rFont val="Calibri"/>
        <family val="2"/>
        <charset val="204"/>
      </rPr>
      <t xml:space="preserve"> 067-406-83-85</t>
    </r>
  </si>
  <si>
    <t>Юлія Русланівна 067-406-83-85</t>
  </si>
  <si>
    <r>
      <t>Олена Миколаївна</t>
    </r>
    <r>
      <rPr>
        <sz val="11"/>
        <color theme="1"/>
        <rFont val="Calibri"/>
        <family val="2"/>
        <charset val="204"/>
      </rPr>
      <t xml:space="preserve"> 050-675-33-62</t>
    </r>
  </si>
  <si>
    <t>Олександра Сергіївна 093-353-72-44</t>
  </si>
  <si>
    <r>
      <t> </t>
    </r>
    <r>
      <rPr>
        <sz val="11"/>
        <color theme="1"/>
        <rFont val="Calibri"/>
        <family val="2"/>
        <charset val="204"/>
      </rPr>
      <t>Наталія Геннадієвна 043 - 255 - 45 - 26</t>
    </r>
  </si>
  <si>
    <t>Ставка,%</t>
  </si>
  <si>
    <t>Тип кредиту</t>
  </si>
  <si>
    <t>veterans</t>
  </si>
  <si>
    <t>internallyDisplacedPersons</t>
  </si>
  <si>
    <t>otherCitizens</t>
  </si>
  <si>
    <t>Ветерани війни та члени їх сімей</t>
  </si>
  <si>
    <t>Ветеран</t>
  </si>
  <si>
    <t>ВПО</t>
  </si>
  <si>
    <t>Інші громадяни України, які не мають власної житлової нерухомості</t>
  </si>
  <si>
    <t>Інші клієнти</t>
  </si>
  <si>
    <t>19920916-06380</t>
  </si>
  <si>
    <t>true</t>
  </si>
  <si>
    <t>невідомо</t>
  </si>
  <si>
    <t>residenceRegistrationPlace</t>
  </si>
  <si>
    <t>інформація щодо пенсії відсутня</t>
  </si>
  <si>
    <t>currentResidencePlace</t>
  </si>
  <si>
    <t>40000, Сумська обл., Суми, вул. КОВПАКА, буд. 91, корп. 1, кв. 125</t>
  </si>
  <si>
    <t>відмова</t>
  </si>
  <si>
    <t>3102.Недостатній дохід(Insufficient income)</t>
  </si>
  <si>
    <t>apartment</t>
  </si>
  <si>
    <t>notMarried</t>
  </si>
  <si>
    <t>foreignPassport</t>
  </si>
  <si>
    <t>passport</t>
  </si>
  <si>
    <t>Київська</t>
  </si>
  <si>
    <t>Бучанський</t>
  </si>
  <si>
    <t>Юрійович</t>
  </si>
  <si>
    <t>19910422-10740</t>
  </si>
  <si>
    <t>04.08.2025 10:14:52</t>
  </si>
  <si>
    <t>Білогородка</t>
  </si>
  <si>
    <t>Ложка</t>
  </si>
  <si>
    <t>Денис</t>
  </si>
  <si>
    <t>+380678392523</t>
  </si>
  <si>
    <t>denislozka2@gmail.com</t>
  </si>
  <si>
    <t>GM</t>
  </si>
  <si>
    <t>17-07-2025</t>
  </si>
  <si>
    <t>17-07-2035</t>
  </si>
  <si>
    <t>19950711-00614</t>
  </si>
  <si>
    <t>СТ</t>
  </si>
  <si>
    <t>Києво-Святошинським РВ ГУ МВС України в Київській обл.</t>
  </si>
  <si>
    <t>Україна, Київська обл., Бучанський р-н, с. Гореничі, вул. Гайдая,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</si>
</sst>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\-yyyy"/>
    <numFmt numFmtId="165" formatCode="_-* #,##0.00_₴_-;\-* #,##0.00_₴_-;_-* &quot;-&quot;??_₴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8" fillId="0" borderId="0"/>
    <xf numFmtId="0" fontId="7" fillId="0" borderId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</cellStyleXfs>
  <cellXfs count="75">
    <xf numFmtId="0" fontId="0" fillId="0" borderId="0" xfId="0"/>
    <xf numFmtId="0" fontId="8" fillId="0" borderId="0" xfId="1"/>
    <xf numFmtId="0" fontId="8" fillId="3" borderId="0" xfId="1" applyFill="1" applyBorder="1"/>
    <xf numFmtId="0" fontId="8" fillId="3" borderId="0" xfId="1" applyFill="1" applyBorder="1" applyAlignment="1">
      <alignment horizontal="left"/>
    </xf>
    <xf numFmtId="0" fontId="8" fillId="3" borderId="0" xfId="1" applyFill="1" applyBorder="1" applyAlignment="1">
      <alignment horizontal="left" vertical="center" wrapText="1"/>
    </xf>
    <xf numFmtId="0" fontId="0" fillId="0" borderId="1" xfId="0" applyBorder="1"/>
    <xf numFmtId="0" fontId="0" fillId="4" borderId="0" xfId="0" applyFill="1" applyAlignment="1" applyProtection="1">
      <alignment horizontal="center"/>
    </xf>
    <xf numFmtId="0" fontId="11" fillId="4" borderId="0" xfId="0" applyFont="1" applyFill="1" applyAlignment="1" applyProtection="1">
      <alignment horizontal="center"/>
    </xf>
    <xf numFmtId="0" fontId="10" fillId="4" borderId="0" xfId="0" applyFont="1" applyFill="1" applyAlignment="1" applyProtection="1">
      <alignment horizontal="left"/>
    </xf>
    <xf numFmtId="0" fontId="10" fillId="4" borderId="0" xfId="0" applyFont="1" applyFill="1" applyAlignment="1" applyProtection="1">
      <alignment horizontal="center"/>
    </xf>
    <xf numFmtId="0" fontId="9" fillId="4" borderId="0" xfId="0" applyFont="1" applyFill="1" applyAlignment="1" applyProtection="1"/>
    <xf numFmtId="0" fontId="0" fillId="2" borderId="1" xfId="0" applyFill="1" applyBorder="1" applyAlignment="1" applyProtection="1">
      <alignment horizontal="center"/>
    </xf>
    <xf numFmtId="0" fontId="0" fillId="2" borderId="1" xfId="0" applyFont="1" applyFill="1" applyBorder="1" applyAlignment="1" applyProtection="1">
      <alignment horizontal="center"/>
    </xf>
    <xf numFmtId="14" fontId="11" fillId="4" borderId="0" xfId="0" applyNumberFormat="1" applyFont="1" applyFill="1" applyAlignment="1" applyProtection="1">
      <alignment horizontal="center"/>
    </xf>
    <xf numFmtId="0" fontId="0" fillId="4" borderId="0" xfId="0" applyFill="1" applyAlignment="1" applyProtection="1">
      <alignment horizontal="left"/>
    </xf>
    <xf numFmtId="0" fontId="0" fillId="2" borderId="1" xfId="0" applyFill="1" applyBorder="1" applyAlignment="1" applyProtection="1">
      <alignment horizontal="right"/>
    </xf>
    <xf numFmtId="4" fontId="0" fillId="4" borderId="0" xfId="0" applyNumberFormat="1" applyFill="1" applyAlignment="1" applyProtection="1">
      <alignment horizontal="center"/>
    </xf>
    <xf numFmtId="0" fontId="0" fillId="5" borderId="1" xfId="0" applyFill="1" applyBorder="1" applyAlignment="1" applyProtection="1">
      <alignment horizontal="right"/>
    </xf>
    <xf numFmtId="16" fontId="0" fillId="4" borderId="0" xfId="0" applyNumberFormat="1" applyFill="1" applyAlignment="1" applyProtection="1">
      <alignment horizontal="center"/>
    </xf>
    <xf numFmtId="0" fontId="0" fillId="2" borderId="1" xfId="0" applyFill="1" applyBorder="1" applyAlignment="1" applyProtection="1"/>
    <xf numFmtId="0" fontId="0" fillId="4" borderId="0" xfId="0" applyNumberFormat="1" applyFill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4" borderId="0" xfId="0" applyFill="1" applyAlignment="1" applyProtection="1">
      <alignment horizontal="right"/>
    </xf>
    <xf numFmtId="4" fontId="0" fillId="6" borderId="1" xfId="0" applyNumberFormat="1" applyFill="1" applyBorder="1" applyAlignment="1" applyProtection="1">
      <alignment horizontal="center"/>
    </xf>
    <xf numFmtId="10" fontId="0" fillId="6" borderId="1" xfId="0" applyNumberFormat="1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center"/>
    </xf>
    <xf numFmtId="0" fontId="0" fillId="6" borderId="4" xfId="0" applyFill="1" applyBorder="1" applyAlignment="1" applyProtection="1"/>
    <xf numFmtId="49" fontId="0" fillId="6" borderId="1" xfId="0" applyNumberFormat="1" applyFill="1" applyBorder="1" applyAlignment="1" applyProtection="1">
      <alignment horizontal="center"/>
    </xf>
    <xf numFmtId="14" fontId="0" fillId="6" borderId="1" xfId="0" applyNumberFormat="1" applyFill="1" applyBorder="1" applyAlignment="1" applyProtection="1">
      <alignment horizontal="center"/>
    </xf>
    <xf numFmtId="17" fontId="0" fillId="6" borderId="2" xfId="0" applyNumberFormat="1" applyFill="1" applyBorder="1" applyAlignment="1" applyProtection="1">
      <alignment horizontal="center"/>
    </xf>
    <xf numFmtId="164" fontId="0" fillId="6" borderId="1" xfId="0" applyNumberFormat="1" applyFill="1" applyBorder="1" applyAlignment="1" applyProtection="1">
      <alignment horizontal="center"/>
    </xf>
    <xf numFmtId="14" fontId="0" fillId="6" borderId="2" xfId="0" applyNumberFormat="1" applyFill="1" applyBorder="1" applyAlignment="1" applyProtection="1">
      <alignment horizontal="center"/>
    </xf>
    <xf numFmtId="0" fontId="0" fillId="6" borderId="2" xfId="0" applyFill="1" applyBorder="1" applyAlignment="1" applyProtection="1">
      <alignment horizontal="center"/>
    </xf>
    <xf numFmtId="0" fontId="0" fillId="6" borderId="1" xfId="0" applyFill="1" applyBorder="1" applyAlignment="1" applyProtection="1"/>
    <xf numFmtId="2" fontId="0" fillId="6" borderId="1" xfId="0" applyNumberFormat="1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center"/>
    </xf>
    <xf numFmtId="0" fontId="6" fillId="0" borderId="0" xfId="1" applyFont="1"/>
    <xf numFmtId="0" fontId="13" fillId="0" borderId="0" xfId="0" applyFont="1"/>
    <xf numFmtId="22" fontId="12" fillId="4" borderId="0" xfId="0" applyNumberFormat="1" applyFont="1" applyFill="1" applyAlignment="1" applyProtection="1"/>
    <xf numFmtId="0" fontId="5" fillId="0" borderId="0" xfId="1" applyFont="1"/>
    <xf numFmtId="1" fontId="12" fillId="4" borderId="0" xfId="0" applyNumberFormat="1" applyFont="1" applyFill="1" applyAlignment="1" applyProtection="1"/>
    <xf numFmtId="0" fontId="0" fillId="2" borderId="1" xfId="0" applyFill="1" applyBorder="1" applyAlignment="1" applyProtection="1">
      <alignment horizontal="center"/>
    </xf>
    <xf numFmtId="14" fontId="0" fillId="4" borderId="0" xfId="0" applyNumberFormat="1" applyFill="1" applyAlignment="1" applyProtection="1">
      <alignment horizontal="center"/>
    </xf>
    <xf numFmtId="0" fontId="8" fillId="0" borderId="1" xfId="1" applyBorder="1"/>
    <xf numFmtId="0" fontId="7" fillId="0" borderId="1" xfId="1" applyFont="1" applyBorder="1"/>
    <xf numFmtId="0" fontId="3" fillId="0" borderId="1" xfId="1" applyFont="1" applyBorder="1"/>
    <xf numFmtId="0" fontId="15" fillId="0" borderId="1" xfId="0" applyFont="1" applyBorder="1" applyAlignment="1">
      <alignment vertical="center"/>
    </xf>
    <xf numFmtId="0" fontId="4" fillId="0" borderId="1" xfId="1" applyFont="1" applyBorder="1"/>
    <xf numFmtId="0" fontId="2" fillId="0" borderId="1" xfId="1" applyFont="1" applyBorder="1"/>
    <xf numFmtId="0" fontId="0" fillId="2" borderId="1" xfId="0" applyFill="1" applyBorder="1" applyAlignment="1" applyProtection="1">
      <alignment horizontal="center"/>
    </xf>
    <xf numFmtId="0" fontId="1" fillId="0" borderId="0" xfId="1" applyFont="1"/>
    <xf numFmtId="9" fontId="0" fillId="6" borderId="1" xfId="0" applyNumberFormat="1" applyFill="1" applyBorder="1" applyAlignment="1" applyProtection="1">
      <alignment horizontal="center"/>
    </xf>
    <xf numFmtId="1" fontId="0" fillId="6" borderId="1" xfId="0" applyNumberFormat="1" applyFill="1" applyBorder="1" applyAlignment="1" applyProtection="1">
      <alignment horizontal="center"/>
      <protection locked="0"/>
    </xf>
    <xf numFmtId="0" fontId="0" fillId="6" borderId="5" xfId="0" applyFill="1" applyBorder="1" applyAlignment="1" applyProtection="1">
      <alignment horizontal="center"/>
    </xf>
    <xf numFmtId="0" fontId="18" fillId="6" borderId="1" xfId="0" applyFont="1" applyFill="1" applyBorder="1" applyAlignment="1" applyProtection="1">
      <alignment horizontal="center"/>
    </xf>
    <xf numFmtId="4" fontId="0" fillId="6" borderId="1" xfId="0" applyNumberFormat="1" applyFill="1" applyBorder="1" applyAlignment="1" applyProtection="1">
      <alignment horizontal="center"/>
      <protection locked="0"/>
    </xf>
    <xf numFmtId="0" fontId="0" fillId="6" borderId="1" xfId="0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left"/>
    </xf>
    <xf numFmtId="0" fontId="0" fillId="2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/>
      <protection locked="0"/>
    </xf>
    <xf numFmtId="0" fontId="0" fillId="6" borderId="2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right"/>
    </xf>
    <xf numFmtId="0" fontId="0" fillId="6" borderId="1" xfId="0" applyFill="1" applyBorder="1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4" xfId="0" applyFill="1" applyBorder="1" applyAlignment="1" applyProtection="1">
      <alignment horizontal="right"/>
    </xf>
    <xf numFmtId="0" fontId="0" fillId="6" borderId="4" xfId="0" applyFill="1" applyBorder="1" applyAlignment="1" applyProtection="1">
      <alignment horizontal="center"/>
    </xf>
    <xf numFmtId="0" fontId="17" fillId="6" borderId="1" xfId="0" applyFont="1" applyFill="1" applyBorder="1" applyAlignment="1" applyProtection="1">
      <alignment horizontal="center"/>
    </xf>
    <xf numFmtId="49" fontId="16" fillId="6" borderId="1" xfId="0" applyNumberFormat="1" applyFont="1" applyFill="1" applyBorder="1" applyAlignment="1" applyProtection="1">
      <alignment horizontal="center"/>
    </xf>
    <xf numFmtId="0" fontId="16" fillId="6" borderId="1" xfId="0" applyFont="1" applyFill="1" applyBorder="1" applyAlignment="1" applyProtection="1">
      <alignment horizontal="center"/>
    </xf>
    <xf numFmtId="0" fontId="0" fillId="6" borderId="1" xfId="0" applyFill="1" applyBorder="1" applyAlignment="1" applyProtection="1">
      <alignment horizontal="left" vertical="top" wrapText="1"/>
    </xf>
    <xf numFmtId="0" fontId="0" fillId="6" borderId="3" xfId="0" applyFill="1" applyBorder="1" applyAlignment="1" applyProtection="1">
      <alignment horizontal="center"/>
    </xf>
    <xf numFmtId="0" fontId="0" fillId="2" borderId="1" xfId="0" applyFill="1" applyBorder="1" applyAlignment="1" applyProtection="1">
      <alignment horizontal="right"/>
    </xf>
  </cellXfs>
  <cellStyles count="5">
    <cellStyle name="Відсотковий 2" xfId="3"/>
    <cellStyle name="Звичайний" xfId="0" builtinId="0"/>
    <cellStyle name="Звичайний 2" xfId="1"/>
    <cellStyle name="Звичайний 3" xfId="2"/>
    <cellStyle name="Фінансовий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9</xdr:row>
          <xdr:rowOff>66675</xdr:rowOff>
        </xdr:from>
        <xdr:to>
          <xdr:col>15</xdr:col>
          <xdr:colOff>1143000</xdr:colOff>
          <xdr:row>10</xdr:row>
          <xdr:rowOff>180975</xdr:rowOff>
        </xdr:to>
        <xdr:sp macro="" textlink="">
          <xdr:nvSpPr>
            <xdr:cNvPr id="1025" name="btn_LoadInf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9</xdr:row>
          <xdr:rowOff>47625</xdr:rowOff>
        </xdr:from>
        <xdr:to>
          <xdr:col>17</xdr:col>
          <xdr:colOff>971550</xdr:colOff>
          <xdr:row>10</xdr:row>
          <xdr:rowOff>161925</xdr:rowOff>
        </xdr:to>
        <xdr:sp macro="" textlink="">
          <xdr:nvSpPr>
            <xdr:cNvPr id="1035" name="btn_ClearContent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Аркуш1"/>
  <dimension ref="B1:X111"/>
  <sheetViews>
    <sheetView tabSelected="1" topLeftCell="A9" zoomScale="80" zoomScaleNormal="80" workbookViewId="0">
      <selection activeCell="L11" sqref="L11:N11"/>
    </sheetView>
  </sheetViews>
  <sheetFormatPr defaultRowHeight="15" x14ac:dyDescent="0.25"/>
  <cols>
    <col min="1" max="1" width="9.140625" style="6"/>
    <col min="2" max="10" width="9.140625" style="6" hidden="1" customWidth="1"/>
    <col min="11" max="11" width="16.5703125" style="6" customWidth="1"/>
    <col min="12" max="12" width="18.5703125" style="6" customWidth="1"/>
    <col min="13" max="13" width="15.7109375" style="6" customWidth="1"/>
    <col min="14" max="14" width="17.7109375" style="6" customWidth="1"/>
    <col min="15" max="15" width="17.5703125" style="6" customWidth="1"/>
    <col min="16" max="16" width="18.5703125" style="6" customWidth="1"/>
    <col min="17" max="18" width="15.7109375" style="6" customWidth="1"/>
    <col min="19" max="19" width="23.140625" style="6" customWidth="1"/>
    <col min="20" max="21" width="15.7109375" style="6" customWidth="1"/>
    <col min="22" max="22" width="17.42578125" style="6" customWidth="1"/>
    <col min="23" max="23" width="14.28515625" style="6" customWidth="1"/>
    <col min="24" max="24" width="27.7109375" style="6" customWidth="1"/>
    <col min="25" max="16384" width="9.140625" style="6"/>
  </cols>
  <sheetData>
    <row r="1" spans="11:19" hidden="1" x14ac:dyDescent="0.25"/>
    <row r="2" spans="11:19" hidden="1" x14ac:dyDescent="0.25"/>
    <row r="3" spans="11:19" hidden="1" x14ac:dyDescent="0.25"/>
    <row r="4" spans="11:19" hidden="1" x14ac:dyDescent="0.25"/>
    <row r="5" spans="11:19" hidden="1" x14ac:dyDescent="0.25"/>
    <row r="6" spans="11:19" hidden="1" x14ac:dyDescent="0.25"/>
    <row r="7" spans="11:19" hidden="1" x14ac:dyDescent="0.25"/>
    <row r="8" spans="11:19" hidden="1" x14ac:dyDescent="0.25"/>
    <row r="11" spans="11:19" x14ac:dyDescent="0.25">
      <c r="K11" s="7" t="s">
        <v>17</v>
      </c>
      <c r="L11" s="59">
        <v>2221207</v>
      </c>
      <c r="M11" s="59"/>
      <c r="N11" s="59"/>
      <c r="O11" s="7"/>
      <c r="P11" s="7"/>
      <c r="Q11" s="7"/>
      <c r="R11" s="7"/>
      <c r="S11" s="7"/>
    </row>
    <row r="13" spans="11:19" ht="21" x14ac:dyDescent="0.35">
      <c r="K13" s="8" t="s">
        <v>33</v>
      </c>
      <c r="L13" s="9"/>
      <c r="M13" s="69" t="s">
        <v>205</v>
      </c>
      <c r="N13" s="69"/>
      <c r="O13" s="9"/>
      <c r="P13" s="9"/>
      <c r="Q13" s="9"/>
      <c r="R13" s="9"/>
      <c r="S13" s="9"/>
    </row>
    <row r="14" spans="11:19" x14ac:dyDescent="0.25">
      <c r="K14" s="8" t="s">
        <v>34</v>
      </c>
      <c r="M14" s="72" t="s">
        <v>206</v>
      </c>
      <c r="N14" s="72"/>
      <c r="O14" s="72"/>
      <c r="P14" s="72"/>
      <c r="Q14" s="72"/>
      <c r="R14" s="9"/>
      <c r="S14" s="9"/>
    </row>
    <row r="15" spans="11:19" x14ac:dyDescent="0.25">
      <c r="M15" s="72"/>
      <c r="N15" s="72"/>
      <c r="O15" s="72"/>
      <c r="P15" s="72"/>
      <c r="Q15" s="72"/>
    </row>
    <row r="16" spans="11:19" x14ac:dyDescent="0.25">
      <c r="M16" s="72"/>
      <c r="N16" s="72"/>
      <c r="O16" s="72"/>
      <c r="P16" s="72"/>
      <c r="Q16" s="72"/>
    </row>
    <row r="17" spans="10:23" ht="18.75" x14ac:dyDescent="0.3">
      <c r="K17" s="10" t="s">
        <v>35</v>
      </c>
    </row>
    <row r="18" spans="10:23" ht="18.75" x14ac:dyDescent="0.3">
      <c r="K18" s="6" t="s">
        <v>48</v>
      </c>
      <c r="L18" s="40">
        <v>2221207</v>
      </c>
      <c r="N18" s="6" t="s">
        <v>49</v>
      </c>
      <c r="O18" s="38" t="s">
        <v>215</v>
      </c>
      <c r="P18" s="10"/>
      <c r="Q18" s="10"/>
      <c r="R18" s="10"/>
      <c r="S18" s="10"/>
    </row>
    <row r="19" spans="10:23" x14ac:dyDescent="0.25">
      <c r="K19" s="11" t="s">
        <v>12</v>
      </c>
      <c r="L19" s="11" t="s">
        <v>42</v>
      </c>
      <c r="M19" s="11" t="s">
        <v>43</v>
      </c>
      <c r="N19" s="11" t="s">
        <v>15</v>
      </c>
      <c r="O19" s="49" t="s">
        <v>188</v>
      </c>
      <c r="P19" s="49" t="s">
        <v>189</v>
      </c>
      <c r="Q19" s="11" t="s">
        <v>36</v>
      </c>
      <c r="R19" s="11" t="s">
        <v>50</v>
      </c>
      <c r="S19" s="11" t="s">
        <v>37</v>
      </c>
    </row>
    <row r="20" spans="10:23" ht="18.75" customHeight="1" x14ac:dyDescent="0.25">
      <c r="K20" s="23">
        <v>3000000</v>
      </c>
      <c r="L20" s="23">
        <v>600000</v>
      </c>
      <c r="M20" s="24">
        <f>reqAdvanceUAH/reqCollateral</f>
        <v>0.2</v>
      </c>
      <c r="N20" s="23">
        <f>reqCollateral-reqAdvanceUAH</f>
        <v>2400000</v>
      </c>
      <c r="O20" s="51">
        <v>7.0000000000000007E-2</v>
      </c>
      <c r="P20" s="23" t="s">
        <v>207</v>
      </c>
      <c r="Q20" s="25" t="s">
        <v>211</v>
      </c>
      <c r="R20" s="25" t="s">
        <v>212</v>
      </c>
      <c r="S20" s="25" t="s">
        <v>216</v>
      </c>
    </row>
    <row r="21" spans="10:23" ht="18.75" x14ac:dyDescent="0.3">
      <c r="K21" s="10" t="s">
        <v>38</v>
      </c>
      <c r="L21" s="10"/>
      <c r="M21" s="10"/>
      <c r="N21" s="10"/>
      <c r="O21" s="10"/>
      <c r="P21" s="10"/>
      <c r="Q21" s="10"/>
      <c r="R21" s="10"/>
      <c r="S21" s="10"/>
      <c r="T21" s="10"/>
    </row>
    <row r="22" spans="10:23" x14ac:dyDescent="0.25">
      <c r="L22" s="11" t="s">
        <v>42</v>
      </c>
      <c r="M22" s="11" t="s">
        <v>43</v>
      </c>
      <c r="N22" s="11" t="s">
        <v>15</v>
      </c>
      <c r="O22" s="11" t="s">
        <v>39</v>
      </c>
    </row>
    <row r="23" spans="10:23" x14ac:dyDescent="0.25">
      <c r="L23" s="55"/>
      <c r="M23" s="25">
        <f>resAdvanceUAH/reqCollateral</f>
        <v>0</v>
      </c>
      <c r="N23" s="55">
        <v>2500000</v>
      </c>
      <c r="O23" s="52">
        <v>240</v>
      </c>
    </row>
    <row r="25" spans="10:23" ht="18.75" x14ac:dyDescent="0.3">
      <c r="K25" s="10" t="s">
        <v>13</v>
      </c>
      <c r="L25" s="10"/>
      <c r="M25" s="10"/>
      <c r="N25" s="10"/>
      <c r="O25" s="10"/>
      <c r="R25" s="10"/>
    </row>
    <row r="26" spans="10:23" ht="18.75" x14ac:dyDescent="0.3">
      <c r="K26" s="11" t="s">
        <v>28</v>
      </c>
      <c r="L26" s="71" t="s">
        <v>217</v>
      </c>
      <c r="M26" s="71"/>
      <c r="N26" s="71"/>
      <c r="O26" s="71" t="s">
        <v>218</v>
      </c>
      <c r="P26" s="71"/>
      <c r="Q26" s="71" t="s">
        <v>213</v>
      </c>
      <c r="R26" s="71"/>
      <c r="S26" s="11" t="s">
        <v>10</v>
      </c>
      <c r="T26" s="70" t="s">
        <v>219</v>
      </c>
      <c r="U26" s="70"/>
      <c r="V26" s="11" t="s">
        <v>6</v>
      </c>
      <c r="W26" s="28">
        <v>35010</v>
      </c>
    </row>
    <row r="27" spans="10:23" x14ac:dyDescent="0.25">
      <c r="K27" s="11" t="s">
        <v>21</v>
      </c>
      <c r="L27" s="56" t="s">
        <v>208</v>
      </c>
      <c r="M27" s="56"/>
      <c r="N27" s="74" t="s">
        <v>100</v>
      </c>
      <c r="O27" s="74"/>
      <c r="P27" s="26" t="s">
        <v>200</v>
      </c>
      <c r="Q27" s="21" t="s">
        <v>124</v>
      </c>
      <c r="R27" s="34">
        <f>CalcAge(birthDate,AppDT)</f>
        <v>29.741758241758241</v>
      </c>
      <c r="S27" s="21" t="s">
        <v>125</v>
      </c>
      <c r="T27" s="34">
        <f>CalcAge(birthDate,AppDT,resTerm)</f>
        <v>49.741758241758241</v>
      </c>
      <c r="U27" s="35" t="s">
        <v>128</v>
      </c>
      <c r="V27" s="62" t="s">
        <v>116</v>
      </c>
      <c r="W27" s="62"/>
    </row>
    <row r="28" spans="10:23" x14ac:dyDescent="0.25">
      <c r="K28" s="11" t="s">
        <v>29</v>
      </c>
      <c r="L28" s="25" t="s">
        <v>194</v>
      </c>
      <c r="M28" s="60" t="s">
        <v>193</v>
      </c>
      <c r="N28" s="73"/>
      <c r="O28" s="73"/>
      <c r="P28" s="68"/>
      <c r="Q28" s="11" t="s">
        <v>0</v>
      </c>
      <c r="R28" s="25">
        <v>3489010257</v>
      </c>
      <c r="S28" s="11" t="s">
        <v>11</v>
      </c>
      <c r="T28" s="56" t="s">
        <v>220</v>
      </c>
      <c r="U28" s="56"/>
    </row>
    <row r="29" spans="10:23" x14ac:dyDescent="0.25">
      <c r="K29" s="58" t="s">
        <v>101</v>
      </c>
      <c r="L29" s="58"/>
      <c r="M29" s="25" t="b">
        <v>0</v>
      </c>
      <c r="N29" s="11" t="s">
        <v>102</v>
      </c>
      <c r="O29" s="25" t="b">
        <v>1</v>
      </c>
      <c r="P29" s="58" t="s">
        <v>103</v>
      </c>
      <c r="Q29" s="58"/>
      <c r="R29" s="27" t="s">
        <v>199</v>
      </c>
      <c r="S29" s="63" t="s">
        <v>104</v>
      </c>
      <c r="T29" s="63"/>
      <c r="U29" s="53" t="b">
        <v>1</v>
      </c>
    </row>
    <row r="30" spans="10:23" x14ac:dyDescent="0.25">
      <c r="K30" s="7" t="s">
        <v>30</v>
      </c>
      <c r="L30" s="7"/>
      <c r="M30" s="7"/>
      <c r="N30" s="7"/>
      <c r="O30" s="7"/>
      <c r="P30" s="7"/>
      <c r="Q30" s="7"/>
      <c r="R30" s="7"/>
    </row>
    <row r="31" spans="10:23" x14ac:dyDescent="0.25">
      <c r="J31" s="6">
        <v>2</v>
      </c>
      <c r="K31" s="11" t="s">
        <v>31</v>
      </c>
      <c r="L31" s="11" t="s">
        <v>1</v>
      </c>
      <c r="M31" s="11" t="s">
        <v>2</v>
      </c>
      <c r="N31" s="11" t="s">
        <v>3</v>
      </c>
      <c r="O31" s="58" t="s">
        <v>4</v>
      </c>
      <c r="P31" s="58"/>
      <c r="Q31" s="58"/>
      <c r="R31" s="11" t="s">
        <v>32</v>
      </c>
      <c r="S31" s="58" t="s">
        <v>94</v>
      </c>
      <c r="T31" s="58"/>
    </row>
    <row r="32" spans="10:23" x14ac:dyDescent="0.25">
      <c r="K32" s="25" t="s">
        <v>209</v>
      </c>
      <c r="L32" s="25" t="s">
        <v>221</v>
      </c>
      <c r="M32" s="25">
        <v>96983</v>
      </c>
      <c r="N32" s="28" t="s">
        <v>222</v>
      </c>
      <c r="O32" s="56">
        <v>3247</v>
      </c>
      <c r="P32" s="56"/>
      <c r="Q32" s="56"/>
      <c r="R32" s="28" t="s">
        <v>223</v>
      </c>
      <c r="S32" s="56" t="s">
        <v>224</v>
      </c>
      <c r="T32" s="56"/>
    </row>
    <row r="33" spans="10:24" x14ac:dyDescent="0.25">
      <c r="K33" s="25" t="s">
        <v>210</v>
      </c>
      <c r="L33" s="25" t="s">
        <v>225</v>
      </c>
      <c r="M33" s="25">
        <v>291933</v>
      </c>
      <c r="N33" s="28">
        <v>41004</v>
      </c>
      <c r="O33" s="56" t="s">
        <v>226</v>
      </c>
      <c r="P33" s="56"/>
      <c r="Q33" s="56"/>
      <c r="R33" s="25"/>
      <c r="S33" s="56" t="s">
        <v>224</v>
      </c>
      <c r="T33" s="56"/>
    </row>
    <row r="34" spans="10:24" x14ac:dyDescent="0.25">
      <c r="K34" s="25"/>
      <c r="L34" s="25"/>
      <c r="M34" s="25"/>
      <c r="N34" s="28"/>
      <c r="O34" s="56"/>
      <c r="P34" s="56"/>
      <c r="Q34" s="56"/>
      <c r="R34" s="28"/>
      <c r="S34" s="56"/>
      <c r="T34" s="56"/>
    </row>
    <row r="35" spans="10:24" x14ac:dyDescent="0.25">
      <c r="K35" s="25"/>
      <c r="L35" s="25"/>
      <c r="M35" s="25"/>
      <c r="N35" s="28"/>
      <c r="O35" s="56"/>
      <c r="P35" s="56"/>
      <c r="Q35" s="56"/>
      <c r="R35" s="25"/>
      <c r="S35" s="56"/>
      <c r="T35" s="56"/>
    </row>
    <row r="36" spans="10:24" x14ac:dyDescent="0.25">
      <c r="K36" s="25"/>
      <c r="L36" s="25"/>
      <c r="M36" s="25"/>
      <c r="N36" s="28"/>
      <c r="O36" s="56"/>
      <c r="P36" s="56"/>
      <c r="Q36" s="56"/>
      <c r="R36" s="25"/>
      <c r="S36" s="56"/>
      <c r="T36" s="56"/>
    </row>
    <row r="37" spans="10:24" x14ac:dyDescent="0.25">
      <c r="K37" s="7" t="s">
        <v>18</v>
      </c>
      <c r="L37" s="7"/>
      <c r="M37" s="7"/>
      <c r="N37" s="13"/>
      <c r="O37" s="7"/>
      <c r="P37" s="7"/>
      <c r="Q37" s="7"/>
    </row>
    <row r="38" spans="10:24" x14ac:dyDescent="0.25">
      <c r="J38" s="6">
        <v>1</v>
      </c>
      <c r="K38" s="58" t="s">
        <v>19</v>
      </c>
      <c r="L38" s="58"/>
      <c r="M38" s="58" t="s">
        <v>5</v>
      </c>
      <c r="N38" s="58"/>
      <c r="O38" s="58" t="s">
        <v>27</v>
      </c>
      <c r="P38" s="58"/>
      <c r="Q38" s="58"/>
      <c r="R38" s="58"/>
      <c r="S38" s="58"/>
    </row>
    <row r="39" spans="10:24" x14ac:dyDescent="0.25">
      <c r="K39" s="57" t="s">
        <v>201</v>
      </c>
      <c r="L39" s="57"/>
      <c r="M39" s="56" t="s">
        <v>211</v>
      </c>
      <c r="N39" s="56"/>
      <c r="O39" s="57" t="s">
        <v>227</v>
      </c>
      <c r="P39" s="57"/>
      <c r="Q39" s="57"/>
      <c r="R39" s="57"/>
      <c r="S39" s="57"/>
    </row>
    <row r="40" spans="10:24" x14ac:dyDescent="0.25">
      <c r="K40" s="57"/>
      <c r="L40" s="57"/>
      <c r="M40" s="56"/>
      <c r="N40" s="56"/>
      <c r="O40" s="57"/>
      <c r="P40" s="57"/>
      <c r="Q40" s="57"/>
      <c r="R40" s="57"/>
      <c r="S40" s="57"/>
    </row>
    <row r="41" spans="10:24" x14ac:dyDescent="0.25">
      <c r="K41" s="6" t="s">
        <v>203</v>
      </c>
      <c r="O41" s="6" t="s">
        <v>204</v>
      </c>
    </row>
    <row r="42" spans="10:24" x14ac:dyDescent="0.25">
      <c r="K42" s="7" t="s">
        <v>22</v>
      </c>
      <c r="L42" s="7"/>
      <c r="M42" s="7"/>
      <c r="N42" s="7"/>
      <c r="O42" s="7"/>
    </row>
    <row r="43" spans="10:24" x14ac:dyDescent="0.25">
      <c r="K43" s="11" t="s">
        <v>95</v>
      </c>
      <c r="L43" s="25"/>
    </row>
    <row r="44" spans="10:24" x14ac:dyDescent="0.25">
      <c r="J44" s="6">
        <v>0</v>
      </c>
      <c r="K44" s="11" t="s">
        <v>45</v>
      </c>
      <c r="L44" s="11" t="s">
        <v>46</v>
      </c>
      <c r="M44" s="11" t="s">
        <v>47</v>
      </c>
      <c r="N44" s="11" t="s">
        <v>6</v>
      </c>
      <c r="O44" s="11" t="s">
        <v>0</v>
      </c>
    </row>
    <row r="45" spans="10:24" x14ac:dyDescent="0.25">
      <c r="K45" s="25"/>
      <c r="L45" s="25"/>
      <c r="M45" s="25"/>
      <c r="N45" s="28"/>
      <c r="O45" s="25"/>
    </row>
    <row r="46" spans="10:24" x14ac:dyDescent="0.25">
      <c r="K46" s="25"/>
      <c r="L46" s="25"/>
      <c r="M46" s="25"/>
      <c r="N46" s="28"/>
      <c r="O46" s="25"/>
    </row>
    <row r="47" spans="10:24" x14ac:dyDescent="0.25">
      <c r="K47" s="25"/>
      <c r="L47" s="25"/>
      <c r="M47" s="25"/>
      <c r="N47" s="25"/>
      <c r="O47" s="25"/>
    </row>
    <row r="48" spans="10:24" ht="18.75" x14ac:dyDescent="0.3">
      <c r="K48" s="25"/>
      <c r="L48" s="25"/>
      <c r="M48" s="25"/>
      <c r="N48" s="28"/>
      <c r="O48" s="25"/>
      <c r="V48" s="10"/>
      <c r="W48" s="10"/>
      <c r="X48" s="10"/>
    </row>
    <row r="49" spans="7:23" x14ac:dyDescent="0.25">
      <c r="K49" s="25"/>
      <c r="L49" s="25"/>
      <c r="M49" s="25"/>
      <c r="N49" s="25"/>
      <c r="O49" s="25"/>
    </row>
    <row r="50" spans="7:23" x14ac:dyDescent="0.25">
      <c r="R50" s="7"/>
      <c r="S50" s="7"/>
    </row>
    <row r="51" spans="7:23" x14ac:dyDescent="0.25">
      <c r="K51" s="7" t="s">
        <v>23</v>
      </c>
      <c r="L51" s="11" t="s">
        <v>24</v>
      </c>
      <c r="M51" s="25">
        <v>8</v>
      </c>
      <c r="N51" s="14" t="s">
        <v>96</v>
      </c>
      <c r="O51" s="25">
        <v>9</v>
      </c>
      <c r="P51" s="14" t="s">
        <v>97</v>
      </c>
      <c r="Q51" s="25">
        <v>15</v>
      </c>
      <c r="R51" s="14" t="s">
        <v>98</v>
      </c>
      <c r="S51" s="15" t="s">
        <v>99</v>
      </c>
      <c r="T51" s="29">
        <v>45778</v>
      </c>
      <c r="U51" s="11" t="s">
        <v>44</v>
      </c>
      <c r="V51" s="25">
        <v>5</v>
      </c>
    </row>
    <row r="53" spans="7:23" x14ac:dyDescent="0.25">
      <c r="G53" s="42"/>
      <c r="H53" s="42"/>
      <c r="I53" s="42"/>
      <c r="J53" s="42"/>
      <c r="K53" s="41" t="s">
        <v>25</v>
      </c>
      <c r="L53" s="30">
        <v>45839</v>
      </c>
      <c r="M53" s="30">
        <v>45809</v>
      </c>
      <c r="N53" s="30"/>
      <c r="O53" s="30"/>
      <c r="P53" s="30"/>
      <c r="Q53" s="30"/>
      <c r="R53" s="6" t="s">
        <v>40</v>
      </c>
    </row>
    <row r="54" spans="7:23" x14ac:dyDescent="0.25">
      <c r="K54" s="11" t="s">
        <v>26</v>
      </c>
      <c r="L54" s="23">
        <v>50000</v>
      </c>
      <c r="M54" s="23">
        <v>50000</v>
      </c>
      <c r="N54" s="23"/>
      <c r="O54" s="23"/>
      <c r="P54" s="23"/>
      <c r="Q54" s="23"/>
      <c r="R54" s="16">
        <f>IFERROR(AVERAGE(L54:Q54),0)</f>
        <v>50000</v>
      </c>
    </row>
    <row r="56" spans="7:23" x14ac:dyDescent="0.25">
      <c r="K56" s="17" t="s">
        <v>105</v>
      </c>
      <c r="L56" s="56" t="s">
        <v>202</v>
      </c>
      <c r="M56" s="60"/>
      <c r="N56" s="17" t="s">
        <v>106</v>
      </c>
      <c r="O56" s="31"/>
      <c r="P56" s="17" t="s">
        <v>107</v>
      </c>
      <c r="Q56" s="32"/>
      <c r="R56" s="17" t="s">
        <v>108</v>
      </c>
      <c r="S56" s="31"/>
      <c r="T56" s="61" t="s">
        <v>109</v>
      </c>
      <c r="U56" s="61"/>
      <c r="V56" s="28"/>
    </row>
    <row r="57" spans="7:23" ht="18.75" x14ac:dyDescent="0.3">
      <c r="K57" s="10" t="s">
        <v>14</v>
      </c>
      <c r="P57" s="7"/>
      <c r="Q57" s="7"/>
      <c r="R57" s="7"/>
      <c r="S57" s="7"/>
    </row>
    <row r="58" spans="7:23" ht="15.75" x14ac:dyDescent="0.25">
      <c r="K58" s="11" t="s">
        <v>28</v>
      </c>
      <c r="L58" s="54"/>
      <c r="M58" s="54"/>
      <c r="N58" s="54"/>
      <c r="O58" s="11" t="s">
        <v>6</v>
      </c>
      <c r="P58" s="28"/>
      <c r="Q58" s="11" t="s">
        <v>0</v>
      </c>
      <c r="R58" s="25"/>
      <c r="S58" s="64" t="s">
        <v>100</v>
      </c>
      <c r="T58" s="65"/>
      <c r="U58" s="60" t="s">
        <v>200</v>
      </c>
      <c r="V58" s="68"/>
    </row>
    <row r="59" spans="7:23" x14ac:dyDescent="0.25">
      <c r="K59" s="11" t="s">
        <v>10</v>
      </c>
      <c r="L59" s="27"/>
      <c r="M59" s="66" t="s">
        <v>11</v>
      </c>
      <c r="N59" s="67"/>
      <c r="O59" s="56"/>
      <c r="P59" s="56"/>
      <c r="Q59" s="21" t="s">
        <v>124</v>
      </c>
      <c r="R59" s="34">
        <f>CalcAge(spouse_birthDate,AppDT)</f>
        <v>125.59615384615384</v>
      </c>
      <c r="S59" s="21" t="s">
        <v>125</v>
      </c>
      <c r="T59" s="34">
        <f>CalcAge(spouse_birthDate,AppDT,resTerm)</f>
        <v>145.59615384615384</v>
      </c>
      <c r="U59" s="35" t="s">
        <v>128</v>
      </c>
      <c r="V59" s="62"/>
      <c r="W59" s="62"/>
    </row>
    <row r="60" spans="7:23" x14ac:dyDescent="0.25">
      <c r="K60" s="58" t="s">
        <v>101</v>
      </c>
      <c r="L60" s="58"/>
      <c r="M60" s="25"/>
      <c r="N60" s="11" t="s">
        <v>102</v>
      </c>
      <c r="O60" s="25"/>
      <c r="P60" s="58" t="s">
        <v>103</v>
      </c>
      <c r="Q60" s="58"/>
      <c r="R60" s="27"/>
      <c r="S60" s="12" t="s">
        <v>104</v>
      </c>
      <c r="T60" s="25"/>
    </row>
    <row r="61" spans="7:23" x14ac:dyDescent="0.25">
      <c r="K61" s="7" t="s">
        <v>30</v>
      </c>
      <c r="L61" s="7"/>
      <c r="M61" s="7"/>
      <c r="N61" s="7"/>
      <c r="O61" s="7"/>
      <c r="P61" s="7"/>
      <c r="Q61" s="7"/>
      <c r="R61" s="7"/>
    </row>
    <row r="62" spans="7:23" x14ac:dyDescent="0.25">
      <c r="J62" s="6">
        <v>0</v>
      </c>
      <c r="K62" s="11" t="s">
        <v>31</v>
      </c>
      <c r="L62" s="11" t="s">
        <v>1</v>
      </c>
      <c r="M62" s="11" t="s">
        <v>2</v>
      </c>
      <c r="N62" s="11" t="s">
        <v>3</v>
      </c>
      <c r="O62" s="58" t="s">
        <v>4</v>
      </c>
      <c r="P62" s="58"/>
      <c r="Q62" s="58"/>
      <c r="R62" s="11" t="s">
        <v>32</v>
      </c>
    </row>
    <row r="63" spans="7:23" x14ac:dyDescent="0.25">
      <c r="K63" s="25"/>
      <c r="L63" s="25"/>
      <c r="M63" s="25"/>
      <c r="N63" s="28"/>
      <c r="O63" s="57"/>
      <c r="P63" s="57"/>
      <c r="Q63" s="57"/>
      <c r="R63" s="28"/>
      <c r="S63" s="6" t="s">
        <v>214</v>
      </c>
    </row>
    <row r="64" spans="7:23" x14ac:dyDescent="0.25">
      <c r="K64" s="25"/>
      <c r="L64" s="25"/>
      <c r="M64" s="25"/>
      <c r="N64" s="28"/>
      <c r="O64" s="57"/>
      <c r="P64" s="57"/>
      <c r="Q64" s="57"/>
      <c r="R64" s="25"/>
      <c r="S64" s="6" t="s">
        <v>214</v>
      </c>
    </row>
    <row r="65" spans="10:22" x14ac:dyDescent="0.25">
      <c r="K65" s="25"/>
      <c r="L65" s="25"/>
      <c r="M65" s="25"/>
      <c r="N65" s="28"/>
      <c r="O65" s="57"/>
      <c r="P65" s="57"/>
      <c r="Q65" s="57"/>
      <c r="R65" s="25"/>
      <c r="S65" s="6" t="s">
        <v>198</v>
      </c>
    </row>
    <row r="66" spans="10:22" x14ac:dyDescent="0.25">
      <c r="K66" s="25"/>
      <c r="L66" s="25"/>
      <c r="M66" s="25"/>
      <c r="N66" s="28"/>
      <c r="O66" s="57"/>
      <c r="P66" s="57"/>
      <c r="Q66" s="57"/>
      <c r="R66" s="25"/>
      <c r="S66" s="6" t="s">
        <v>198</v>
      </c>
    </row>
    <row r="67" spans="10:22" x14ac:dyDescent="0.25">
      <c r="K67" s="25"/>
      <c r="L67" s="25"/>
      <c r="M67" s="25"/>
      <c r="N67" s="25"/>
      <c r="O67" s="57"/>
      <c r="P67" s="57"/>
      <c r="Q67" s="57"/>
      <c r="R67" s="25"/>
    </row>
    <row r="68" spans="10:22" x14ac:dyDescent="0.25">
      <c r="K68" s="7" t="s">
        <v>18</v>
      </c>
      <c r="L68" s="7"/>
      <c r="M68" s="7"/>
      <c r="N68" s="7"/>
      <c r="O68" s="7"/>
      <c r="P68" s="7"/>
      <c r="Q68" s="7"/>
    </row>
    <row r="69" spans="10:22" x14ac:dyDescent="0.25">
      <c r="J69" s="6">
        <v>0</v>
      </c>
      <c r="K69" s="58" t="s">
        <v>19</v>
      </c>
      <c r="L69" s="58"/>
      <c r="M69" s="58" t="s">
        <v>5</v>
      </c>
      <c r="N69" s="58"/>
      <c r="O69" s="58" t="s">
        <v>27</v>
      </c>
      <c r="P69" s="58"/>
      <c r="Q69" s="58"/>
      <c r="R69" s="58"/>
      <c r="S69" s="58"/>
    </row>
    <row r="70" spans="10:22" x14ac:dyDescent="0.25">
      <c r="K70" s="57"/>
      <c r="L70" s="57"/>
      <c r="M70" s="56"/>
      <c r="N70" s="56"/>
      <c r="O70" s="57"/>
      <c r="P70" s="57"/>
      <c r="Q70" s="57"/>
      <c r="R70" s="57"/>
      <c r="S70" s="57"/>
      <c r="U70" s="18"/>
    </row>
    <row r="71" spans="10:22" x14ac:dyDescent="0.25">
      <c r="K71" s="57"/>
      <c r="L71" s="57"/>
      <c r="M71" s="56"/>
      <c r="N71" s="56"/>
      <c r="O71" s="57"/>
      <c r="P71" s="57"/>
      <c r="Q71" s="57"/>
      <c r="R71" s="57"/>
      <c r="S71" s="57"/>
    </row>
    <row r="73" spans="10:22" x14ac:dyDescent="0.25">
      <c r="R73" s="7"/>
      <c r="S73" s="7"/>
    </row>
    <row r="74" spans="10:22" x14ac:dyDescent="0.25">
      <c r="K74" s="7" t="s">
        <v>23</v>
      </c>
      <c r="L74" s="15" t="s">
        <v>99</v>
      </c>
      <c r="M74" s="29"/>
      <c r="N74" s="11" t="s">
        <v>44</v>
      </c>
      <c r="O74" s="25">
        <v>0</v>
      </c>
      <c r="R74" s="7"/>
    </row>
    <row r="76" spans="10:22" x14ac:dyDescent="0.25">
      <c r="K76" s="11" t="s">
        <v>25</v>
      </c>
      <c r="L76" s="30"/>
      <c r="M76" s="30"/>
      <c r="N76" s="30"/>
      <c r="O76" s="30"/>
      <c r="P76" s="30"/>
      <c r="Q76" s="30"/>
      <c r="R76" s="6" t="s">
        <v>40</v>
      </c>
    </row>
    <row r="77" spans="10:22" x14ac:dyDescent="0.25">
      <c r="K77" s="11" t="s">
        <v>26</v>
      </c>
      <c r="L77" s="25"/>
      <c r="M77" s="25"/>
      <c r="N77" s="25"/>
      <c r="O77" s="25"/>
      <c r="P77" s="25"/>
      <c r="Q77" s="25"/>
      <c r="R77" s="16">
        <f>IFERROR(AVERAGE(L77:Q77),0)</f>
        <v>0</v>
      </c>
    </row>
    <row r="79" spans="10:22" x14ac:dyDescent="0.25">
      <c r="K79" s="17" t="s">
        <v>105</v>
      </c>
      <c r="L79" s="56" t="s">
        <v>202</v>
      </c>
      <c r="M79" s="60"/>
      <c r="N79" s="17" t="s">
        <v>106</v>
      </c>
      <c r="O79" s="31"/>
      <c r="P79" s="17" t="s">
        <v>107</v>
      </c>
      <c r="Q79" s="32"/>
      <c r="R79" s="17" t="s">
        <v>108</v>
      </c>
      <c r="S79" s="31"/>
      <c r="T79" s="61" t="s">
        <v>109</v>
      </c>
      <c r="U79" s="61"/>
      <c r="V79" s="28"/>
    </row>
    <row r="81" spans="10:24" ht="18.75" x14ac:dyDescent="0.3">
      <c r="K81" s="10" t="s">
        <v>20</v>
      </c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</row>
    <row r="82" spans="10:24" x14ac:dyDescent="0.25">
      <c r="J82" s="6">
        <v>0</v>
      </c>
      <c r="K82" s="19" t="s">
        <v>41</v>
      </c>
      <c r="L82" s="11" t="s">
        <v>110</v>
      </c>
      <c r="M82" s="58" t="s">
        <v>7</v>
      </c>
      <c r="N82" s="58"/>
      <c r="O82" s="58" t="s">
        <v>137</v>
      </c>
      <c r="P82" s="58"/>
      <c r="Q82" s="58" t="s">
        <v>27</v>
      </c>
      <c r="R82" s="58"/>
      <c r="S82" s="58"/>
      <c r="T82" s="11" t="s">
        <v>8</v>
      </c>
      <c r="U82" s="11" t="s">
        <v>9</v>
      </c>
      <c r="V82" s="11" t="s">
        <v>111</v>
      </c>
      <c r="W82" s="6" t="s">
        <v>112</v>
      </c>
      <c r="X82" s="6" t="s">
        <v>113</v>
      </c>
    </row>
    <row r="83" spans="10:24" x14ac:dyDescent="0.25">
      <c r="K83" s="33"/>
      <c r="L83" s="25"/>
      <c r="M83" s="56"/>
      <c r="N83" s="56"/>
      <c r="O83" s="56"/>
      <c r="P83" s="56"/>
      <c r="Q83" s="57"/>
      <c r="R83" s="57"/>
      <c r="S83" s="57"/>
      <c r="T83" s="23"/>
      <c r="U83" s="34"/>
      <c r="V83" s="25"/>
      <c r="W83" s="20" t="str">
        <f>IF(T83="","",T83*U83)</f>
        <v/>
      </c>
      <c r="X83" s="20" t="str">
        <f t="shared" ref="X83:X110" si="0">IFERROR(VLOOKUP(O83,dict_Regions,3,FALSE),"")</f>
        <v/>
      </c>
    </row>
    <row r="84" spans="10:24" x14ac:dyDescent="0.25">
      <c r="K84" s="33"/>
      <c r="L84" s="25"/>
      <c r="M84" s="56"/>
      <c r="N84" s="56"/>
      <c r="O84" s="56"/>
      <c r="P84" s="56"/>
      <c r="Q84" s="57"/>
      <c r="R84" s="57"/>
      <c r="S84" s="57"/>
      <c r="T84" s="23"/>
      <c r="U84" s="34"/>
      <c r="V84" s="25"/>
      <c r="W84" s="20" t="str">
        <f t="shared" ref="W84:W110" si="1">IF(T84="","",T84*U84)</f>
        <v/>
      </c>
      <c r="X84" s="20" t="str">
        <f t="shared" si="0"/>
        <v/>
      </c>
    </row>
    <row r="85" spans="10:24" x14ac:dyDescent="0.25">
      <c r="K85" s="33"/>
      <c r="L85" s="25"/>
      <c r="M85" s="56"/>
      <c r="N85" s="56"/>
      <c r="O85" s="56"/>
      <c r="P85" s="56"/>
      <c r="Q85" s="57"/>
      <c r="R85" s="57"/>
      <c r="S85" s="57"/>
      <c r="T85" s="23"/>
      <c r="U85" s="34"/>
      <c r="V85" s="25"/>
      <c r="W85" s="20" t="str">
        <f t="shared" si="1"/>
        <v/>
      </c>
      <c r="X85" s="20" t="str">
        <f t="shared" si="0"/>
        <v/>
      </c>
    </row>
    <row r="86" spans="10:24" x14ac:dyDescent="0.25">
      <c r="K86" s="33"/>
      <c r="L86" s="25"/>
      <c r="M86" s="56"/>
      <c r="N86" s="56"/>
      <c r="O86" s="56"/>
      <c r="P86" s="56"/>
      <c r="Q86" s="57"/>
      <c r="R86" s="57"/>
      <c r="S86" s="57"/>
      <c r="T86" s="23"/>
      <c r="U86" s="34"/>
      <c r="V86" s="25"/>
      <c r="W86" s="20" t="str">
        <f t="shared" si="1"/>
        <v/>
      </c>
      <c r="X86" s="20" t="str">
        <f t="shared" si="0"/>
        <v/>
      </c>
    </row>
    <row r="87" spans="10:24" x14ac:dyDescent="0.25">
      <c r="K87" s="33"/>
      <c r="L87" s="25"/>
      <c r="M87" s="56"/>
      <c r="N87" s="56"/>
      <c r="O87" s="56"/>
      <c r="P87" s="56"/>
      <c r="Q87" s="57"/>
      <c r="R87" s="57"/>
      <c r="S87" s="57"/>
      <c r="T87" s="23"/>
      <c r="U87" s="27"/>
      <c r="V87" s="25"/>
      <c r="W87" s="20" t="str">
        <f t="shared" si="1"/>
        <v/>
      </c>
      <c r="X87" s="20" t="str">
        <f t="shared" si="0"/>
        <v/>
      </c>
    </row>
    <row r="88" spans="10:24" x14ac:dyDescent="0.25">
      <c r="K88" s="33"/>
      <c r="L88" s="25"/>
      <c r="M88" s="56"/>
      <c r="N88" s="56"/>
      <c r="O88" s="56"/>
      <c r="P88" s="56"/>
      <c r="Q88" s="57"/>
      <c r="R88" s="57"/>
      <c r="S88" s="57"/>
      <c r="T88" s="23"/>
      <c r="U88" s="27"/>
      <c r="V88" s="25"/>
      <c r="W88" s="20" t="str">
        <f t="shared" si="1"/>
        <v/>
      </c>
      <c r="X88" s="20" t="str">
        <f t="shared" si="0"/>
        <v/>
      </c>
    </row>
    <row r="89" spans="10:24" x14ac:dyDescent="0.25">
      <c r="K89" s="33"/>
      <c r="L89" s="25"/>
      <c r="M89" s="56"/>
      <c r="N89" s="56"/>
      <c r="O89" s="56"/>
      <c r="P89" s="56"/>
      <c r="Q89" s="57"/>
      <c r="R89" s="57"/>
      <c r="S89" s="57"/>
      <c r="T89" s="23"/>
      <c r="U89" s="27"/>
      <c r="V89" s="25"/>
      <c r="W89" s="20" t="str">
        <f t="shared" si="1"/>
        <v/>
      </c>
      <c r="X89" s="20" t="str">
        <f t="shared" si="0"/>
        <v/>
      </c>
    </row>
    <row r="90" spans="10:24" x14ac:dyDescent="0.25">
      <c r="K90" s="33"/>
      <c r="L90" s="25"/>
      <c r="M90" s="56"/>
      <c r="N90" s="56"/>
      <c r="O90" s="56"/>
      <c r="P90" s="56"/>
      <c r="Q90" s="57"/>
      <c r="R90" s="57"/>
      <c r="S90" s="57"/>
      <c r="T90" s="23"/>
      <c r="U90" s="27"/>
      <c r="V90" s="25"/>
      <c r="W90" s="20" t="str">
        <f t="shared" si="1"/>
        <v/>
      </c>
      <c r="X90" s="20" t="str">
        <f t="shared" si="0"/>
        <v/>
      </c>
    </row>
    <row r="91" spans="10:24" x14ac:dyDescent="0.25">
      <c r="K91" s="33"/>
      <c r="L91" s="25"/>
      <c r="M91" s="56"/>
      <c r="N91" s="56"/>
      <c r="O91" s="56"/>
      <c r="P91" s="56"/>
      <c r="Q91" s="57"/>
      <c r="R91" s="57"/>
      <c r="S91" s="57"/>
      <c r="T91" s="23"/>
      <c r="U91" s="27"/>
      <c r="V91" s="25"/>
      <c r="W91" s="20" t="str">
        <f t="shared" si="1"/>
        <v/>
      </c>
      <c r="X91" s="20" t="str">
        <f t="shared" si="0"/>
        <v/>
      </c>
    </row>
    <row r="92" spans="10:24" x14ac:dyDescent="0.25">
      <c r="K92" s="33"/>
      <c r="L92" s="25"/>
      <c r="M92" s="56"/>
      <c r="N92" s="56"/>
      <c r="O92" s="56"/>
      <c r="P92" s="56"/>
      <c r="Q92" s="57"/>
      <c r="R92" s="57"/>
      <c r="S92" s="57"/>
      <c r="T92" s="23"/>
      <c r="U92" s="27"/>
      <c r="V92" s="25"/>
      <c r="W92" s="20" t="str">
        <f t="shared" si="1"/>
        <v/>
      </c>
      <c r="X92" s="20" t="str">
        <f t="shared" si="0"/>
        <v/>
      </c>
    </row>
    <row r="93" spans="10:24" x14ac:dyDescent="0.25">
      <c r="K93" s="33"/>
      <c r="L93" s="25"/>
      <c r="M93" s="56"/>
      <c r="N93" s="56"/>
      <c r="O93" s="56"/>
      <c r="P93" s="56"/>
      <c r="Q93" s="57"/>
      <c r="R93" s="57"/>
      <c r="S93" s="57"/>
      <c r="T93" s="23"/>
      <c r="U93" s="27"/>
      <c r="V93" s="25"/>
      <c r="W93" s="20" t="str">
        <f t="shared" si="1"/>
        <v/>
      </c>
      <c r="X93" s="20" t="str">
        <f t="shared" si="0"/>
        <v/>
      </c>
    </row>
    <row r="94" spans="10:24" x14ac:dyDescent="0.25">
      <c r="K94" s="33"/>
      <c r="L94" s="25"/>
      <c r="M94" s="56"/>
      <c r="N94" s="56"/>
      <c r="O94" s="56"/>
      <c r="P94" s="56"/>
      <c r="Q94" s="57"/>
      <c r="R94" s="57"/>
      <c r="S94" s="57"/>
      <c r="T94" s="23"/>
      <c r="U94" s="27"/>
      <c r="V94" s="25"/>
      <c r="W94" s="20" t="str">
        <f t="shared" si="1"/>
        <v/>
      </c>
      <c r="X94" s="20" t="str">
        <f t="shared" si="0"/>
        <v/>
      </c>
    </row>
    <row r="95" spans="10:24" x14ac:dyDescent="0.25">
      <c r="K95" s="33"/>
      <c r="L95" s="25"/>
      <c r="M95" s="56"/>
      <c r="N95" s="56"/>
      <c r="O95" s="56"/>
      <c r="P95" s="56"/>
      <c r="Q95" s="57"/>
      <c r="R95" s="57"/>
      <c r="S95" s="57"/>
      <c r="T95" s="23"/>
      <c r="U95" s="27"/>
      <c r="V95" s="25"/>
      <c r="W95" s="20" t="str">
        <f t="shared" si="1"/>
        <v/>
      </c>
      <c r="X95" s="20" t="str">
        <f t="shared" si="0"/>
        <v/>
      </c>
    </row>
    <row r="96" spans="10:24" x14ac:dyDescent="0.25">
      <c r="K96" s="33"/>
      <c r="L96" s="25"/>
      <c r="M96" s="56"/>
      <c r="N96" s="56"/>
      <c r="O96" s="56"/>
      <c r="P96" s="56"/>
      <c r="Q96" s="57"/>
      <c r="R96" s="57"/>
      <c r="S96" s="57"/>
      <c r="T96" s="23"/>
      <c r="U96" s="27"/>
      <c r="V96" s="25"/>
      <c r="W96" s="20" t="str">
        <f t="shared" si="1"/>
        <v/>
      </c>
      <c r="X96" s="20" t="str">
        <f t="shared" si="0"/>
        <v/>
      </c>
    </row>
    <row r="97" spans="11:24" x14ac:dyDescent="0.25">
      <c r="K97" s="33"/>
      <c r="L97" s="25"/>
      <c r="M97" s="56"/>
      <c r="N97" s="56"/>
      <c r="O97" s="56"/>
      <c r="P97" s="56"/>
      <c r="Q97" s="57"/>
      <c r="R97" s="57"/>
      <c r="S97" s="57"/>
      <c r="T97" s="23"/>
      <c r="U97" s="27"/>
      <c r="V97" s="25"/>
      <c r="W97" s="20" t="str">
        <f t="shared" si="1"/>
        <v/>
      </c>
      <c r="X97" s="20" t="str">
        <f t="shared" si="0"/>
        <v/>
      </c>
    </row>
    <row r="98" spans="11:24" x14ac:dyDescent="0.25">
      <c r="K98" s="33"/>
      <c r="L98" s="25"/>
      <c r="M98" s="56"/>
      <c r="N98" s="56"/>
      <c r="O98" s="56"/>
      <c r="P98" s="56"/>
      <c r="Q98" s="57"/>
      <c r="R98" s="57"/>
      <c r="S98" s="57"/>
      <c r="T98" s="23"/>
      <c r="U98" s="27"/>
      <c r="V98" s="25"/>
      <c r="W98" s="20" t="str">
        <f t="shared" si="1"/>
        <v/>
      </c>
      <c r="X98" s="20" t="str">
        <f t="shared" si="0"/>
        <v/>
      </c>
    </row>
    <row r="99" spans="11:24" x14ac:dyDescent="0.25">
      <c r="K99" s="33"/>
      <c r="L99" s="25"/>
      <c r="M99" s="56"/>
      <c r="N99" s="56"/>
      <c r="O99" s="56"/>
      <c r="P99" s="56"/>
      <c r="Q99" s="57"/>
      <c r="R99" s="57"/>
      <c r="S99" s="57"/>
      <c r="T99" s="23"/>
      <c r="U99" s="27"/>
      <c r="V99" s="25"/>
      <c r="W99" s="20" t="str">
        <f t="shared" si="1"/>
        <v/>
      </c>
      <c r="X99" s="20" t="str">
        <f t="shared" si="0"/>
        <v/>
      </c>
    </row>
    <row r="100" spans="11:24" x14ac:dyDescent="0.25">
      <c r="K100" s="33"/>
      <c r="L100" s="25"/>
      <c r="M100" s="56"/>
      <c r="N100" s="56"/>
      <c r="O100" s="56"/>
      <c r="P100" s="56"/>
      <c r="Q100" s="57"/>
      <c r="R100" s="57"/>
      <c r="S100" s="57"/>
      <c r="T100" s="23"/>
      <c r="U100" s="27"/>
      <c r="V100" s="25"/>
      <c r="W100" s="20" t="str">
        <f t="shared" si="1"/>
        <v/>
      </c>
      <c r="X100" s="20" t="str">
        <f t="shared" si="0"/>
        <v/>
      </c>
    </row>
    <row r="101" spans="11:24" x14ac:dyDescent="0.25">
      <c r="K101" s="33"/>
      <c r="L101" s="25"/>
      <c r="M101" s="56"/>
      <c r="N101" s="56"/>
      <c r="O101" s="56"/>
      <c r="P101" s="56"/>
      <c r="Q101" s="57"/>
      <c r="R101" s="57"/>
      <c r="S101" s="57"/>
      <c r="T101" s="23"/>
      <c r="U101" s="27"/>
      <c r="V101" s="25"/>
      <c r="W101" s="20" t="str">
        <f t="shared" si="1"/>
        <v/>
      </c>
      <c r="X101" s="20" t="str">
        <f t="shared" si="0"/>
        <v/>
      </c>
    </row>
    <row r="102" spans="11:24" x14ac:dyDescent="0.25">
      <c r="K102" s="33"/>
      <c r="L102" s="25"/>
      <c r="M102" s="56"/>
      <c r="N102" s="56"/>
      <c r="O102" s="56"/>
      <c r="P102" s="56"/>
      <c r="Q102" s="57"/>
      <c r="R102" s="57"/>
      <c r="S102" s="57"/>
      <c r="T102" s="23"/>
      <c r="U102" s="27"/>
      <c r="V102" s="25"/>
      <c r="W102" s="20" t="str">
        <f t="shared" si="1"/>
        <v/>
      </c>
      <c r="X102" s="20" t="str">
        <f t="shared" si="0"/>
        <v/>
      </c>
    </row>
    <row r="103" spans="11:24" x14ac:dyDescent="0.25">
      <c r="K103" s="33"/>
      <c r="L103" s="25"/>
      <c r="M103" s="56"/>
      <c r="N103" s="56"/>
      <c r="O103" s="56"/>
      <c r="P103" s="56"/>
      <c r="Q103" s="57"/>
      <c r="R103" s="57"/>
      <c r="S103" s="57"/>
      <c r="T103" s="23"/>
      <c r="U103" s="27"/>
      <c r="V103" s="25"/>
      <c r="W103" s="20" t="str">
        <f t="shared" si="1"/>
        <v/>
      </c>
      <c r="X103" s="20" t="str">
        <f t="shared" si="0"/>
        <v/>
      </c>
    </row>
    <row r="104" spans="11:24" x14ac:dyDescent="0.25">
      <c r="K104" s="33"/>
      <c r="L104" s="25"/>
      <c r="M104" s="56"/>
      <c r="N104" s="56"/>
      <c r="O104" s="56"/>
      <c r="P104" s="56"/>
      <c r="Q104" s="57"/>
      <c r="R104" s="57"/>
      <c r="S104" s="57"/>
      <c r="T104" s="23"/>
      <c r="U104" s="27"/>
      <c r="V104" s="25"/>
      <c r="W104" s="20" t="str">
        <f t="shared" si="1"/>
        <v/>
      </c>
      <c r="X104" s="20" t="str">
        <f t="shared" si="0"/>
        <v/>
      </c>
    </row>
    <row r="105" spans="11:24" x14ac:dyDescent="0.25">
      <c r="K105" s="33"/>
      <c r="L105" s="25"/>
      <c r="M105" s="56"/>
      <c r="N105" s="56"/>
      <c r="O105" s="56"/>
      <c r="P105" s="56"/>
      <c r="Q105" s="57"/>
      <c r="R105" s="57"/>
      <c r="S105" s="57"/>
      <c r="T105" s="23"/>
      <c r="U105" s="27"/>
      <c r="V105" s="25"/>
      <c r="W105" s="20" t="str">
        <f t="shared" si="1"/>
        <v/>
      </c>
      <c r="X105" s="20" t="str">
        <f t="shared" si="0"/>
        <v/>
      </c>
    </row>
    <row r="106" spans="11:24" x14ac:dyDescent="0.25">
      <c r="K106" s="33"/>
      <c r="L106" s="25"/>
      <c r="M106" s="56"/>
      <c r="N106" s="56"/>
      <c r="O106" s="56"/>
      <c r="P106" s="56"/>
      <c r="Q106" s="57"/>
      <c r="R106" s="57"/>
      <c r="S106" s="57"/>
      <c r="T106" s="23"/>
      <c r="U106" s="27"/>
      <c r="V106" s="25"/>
      <c r="W106" s="20" t="str">
        <f t="shared" si="1"/>
        <v/>
      </c>
      <c r="X106" s="20" t="str">
        <f t="shared" si="0"/>
        <v/>
      </c>
    </row>
    <row r="107" spans="11:24" x14ac:dyDescent="0.25">
      <c r="K107" s="33"/>
      <c r="L107" s="25"/>
      <c r="M107" s="56"/>
      <c r="N107" s="56"/>
      <c r="O107" s="56"/>
      <c r="P107" s="56"/>
      <c r="Q107" s="57"/>
      <c r="R107" s="57"/>
      <c r="S107" s="57"/>
      <c r="T107" s="23"/>
      <c r="U107" s="27"/>
      <c r="V107" s="25"/>
      <c r="W107" s="20" t="str">
        <f t="shared" si="1"/>
        <v/>
      </c>
      <c r="X107" s="20" t="str">
        <f t="shared" si="0"/>
        <v/>
      </c>
    </row>
    <row r="108" spans="11:24" x14ac:dyDescent="0.25">
      <c r="K108" s="33"/>
      <c r="L108" s="25"/>
      <c r="M108" s="56"/>
      <c r="N108" s="56"/>
      <c r="O108" s="56"/>
      <c r="P108" s="56"/>
      <c r="Q108" s="57"/>
      <c r="R108" s="57"/>
      <c r="S108" s="57"/>
      <c r="T108" s="23"/>
      <c r="U108" s="27"/>
      <c r="V108" s="25"/>
      <c r="W108" s="20" t="str">
        <f t="shared" si="1"/>
        <v/>
      </c>
      <c r="X108" s="20" t="str">
        <f t="shared" si="0"/>
        <v/>
      </c>
    </row>
    <row r="109" spans="11:24" x14ac:dyDescent="0.25">
      <c r="K109" s="33"/>
      <c r="L109" s="25"/>
      <c r="M109" s="56"/>
      <c r="N109" s="56"/>
      <c r="O109" s="56"/>
      <c r="P109" s="56"/>
      <c r="Q109" s="57"/>
      <c r="R109" s="57"/>
      <c r="S109" s="57"/>
      <c r="T109" s="23"/>
      <c r="U109" s="27"/>
      <c r="V109" s="25"/>
      <c r="W109" s="20" t="str">
        <f t="shared" si="1"/>
        <v/>
      </c>
      <c r="X109" s="20" t="str">
        <f t="shared" si="0"/>
        <v/>
      </c>
    </row>
    <row r="110" spans="11:24" x14ac:dyDescent="0.25">
      <c r="K110" s="33"/>
      <c r="L110" s="25"/>
      <c r="M110" s="56"/>
      <c r="N110" s="56"/>
      <c r="O110" s="56"/>
      <c r="P110" s="56"/>
      <c r="Q110" s="57"/>
      <c r="R110" s="57"/>
      <c r="S110" s="57"/>
      <c r="T110" s="23"/>
      <c r="U110" s="27"/>
      <c r="V110" s="25"/>
      <c r="W110" s="20" t="str">
        <f t="shared" si="1"/>
        <v/>
      </c>
      <c r="X110" s="20" t="str">
        <f t="shared" si="0"/>
        <v/>
      </c>
    </row>
    <row r="111" spans="11:24" x14ac:dyDescent="0.25">
      <c r="L111" s="22" t="s">
        <v>126</v>
      </c>
      <c r="M111" s="6">
        <f>SUMIFS(W83:W110,X83:X110,"Green")</f>
        <v>0</v>
      </c>
      <c r="S111" s="22" t="s">
        <v>127</v>
      </c>
      <c r="T111" s="6">
        <f>52.5+21*(childrenNumber+IF(OR(maritalStatus="married",maritalStatus="inCivilMarriage"),1,0))</f>
        <v>52.5</v>
      </c>
    </row>
  </sheetData>
  <sheetProtection algorithmName="SHA-512" hashValue="h6nwDn93VoQlomrNnsYcPVR8rquW1nOD0yNa9/1MpJcW3ezgAqzuErvtqt8t3Sgs6ddCfzSCXFX1pr/VKzCzBg==" saltValue="wdHqVd8BpN1lpbzaCYXHMQ==" spinCount="100000" sheet="1" objects="1" scenarios="1"/>
  <mergeCells count="149">
    <mergeCell ref="M13:N13"/>
    <mergeCell ref="T26:U26"/>
    <mergeCell ref="Q26:R26"/>
    <mergeCell ref="O26:P26"/>
    <mergeCell ref="L26:N26"/>
    <mergeCell ref="M14:Q16"/>
    <mergeCell ref="M28:P28"/>
    <mergeCell ref="O34:Q34"/>
    <mergeCell ref="T28:U28"/>
    <mergeCell ref="N27:O27"/>
    <mergeCell ref="V27:W27"/>
    <mergeCell ref="S29:T29"/>
    <mergeCell ref="S35:T35"/>
    <mergeCell ref="S36:T36"/>
    <mergeCell ref="M90:N90"/>
    <mergeCell ref="O90:P90"/>
    <mergeCell ref="Q90:S90"/>
    <mergeCell ref="M88:N88"/>
    <mergeCell ref="O88:P88"/>
    <mergeCell ref="S58:T58"/>
    <mergeCell ref="Q87:S87"/>
    <mergeCell ref="M84:N84"/>
    <mergeCell ref="O84:P84"/>
    <mergeCell ref="Q84:S84"/>
    <mergeCell ref="M85:N85"/>
    <mergeCell ref="O85:P85"/>
    <mergeCell ref="Q85:S85"/>
    <mergeCell ref="M86:N86"/>
    <mergeCell ref="O86:P86"/>
    <mergeCell ref="M59:N59"/>
    <mergeCell ref="T79:U79"/>
    <mergeCell ref="U58:V58"/>
    <mergeCell ref="V59:W59"/>
    <mergeCell ref="K69:L69"/>
    <mergeCell ref="M69:N69"/>
    <mergeCell ref="O69:S69"/>
    <mergeCell ref="M92:N92"/>
    <mergeCell ref="K29:L29"/>
    <mergeCell ref="Q88:S88"/>
    <mergeCell ref="M89:N89"/>
    <mergeCell ref="O89:P89"/>
    <mergeCell ref="Q89:S89"/>
    <mergeCell ref="L79:M79"/>
    <mergeCell ref="P29:Q29"/>
    <mergeCell ref="O31:Q31"/>
    <mergeCell ref="O32:Q32"/>
    <mergeCell ref="O33:Q33"/>
    <mergeCell ref="M91:N91"/>
    <mergeCell ref="O91:P91"/>
    <mergeCell ref="Q91:S91"/>
    <mergeCell ref="O59:P59"/>
    <mergeCell ref="O62:Q62"/>
    <mergeCell ref="O63:Q63"/>
    <mergeCell ref="O64:Q64"/>
    <mergeCell ref="Q86:S86"/>
    <mergeCell ref="M87:N87"/>
    <mergeCell ref="O87:P87"/>
    <mergeCell ref="M99:N99"/>
    <mergeCell ref="O99:P99"/>
    <mergeCell ref="Q99:S99"/>
    <mergeCell ref="M96:N96"/>
    <mergeCell ref="O96:P96"/>
    <mergeCell ref="M95:N95"/>
    <mergeCell ref="O95:P95"/>
    <mergeCell ref="Q95:S95"/>
    <mergeCell ref="M93:N93"/>
    <mergeCell ref="O93:P93"/>
    <mergeCell ref="Q93:S93"/>
    <mergeCell ref="M97:N97"/>
    <mergeCell ref="O97:P97"/>
    <mergeCell ref="Q97:S97"/>
    <mergeCell ref="M98:N98"/>
    <mergeCell ref="O98:P98"/>
    <mergeCell ref="Q98:S98"/>
    <mergeCell ref="L11:N11"/>
    <mergeCell ref="O35:Q35"/>
    <mergeCell ref="O66:Q66"/>
    <mergeCell ref="O36:Q36"/>
    <mergeCell ref="O67:Q67"/>
    <mergeCell ref="O38:S38"/>
    <mergeCell ref="O39:S39"/>
    <mergeCell ref="O40:S40"/>
    <mergeCell ref="K38:L38"/>
    <mergeCell ref="K39:L39"/>
    <mergeCell ref="K40:L40"/>
    <mergeCell ref="O65:Q65"/>
    <mergeCell ref="L27:M27"/>
    <mergeCell ref="M38:N38"/>
    <mergeCell ref="M39:N39"/>
    <mergeCell ref="M40:N40"/>
    <mergeCell ref="S31:T31"/>
    <mergeCell ref="S32:T32"/>
    <mergeCell ref="S33:T33"/>
    <mergeCell ref="S34:T34"/>
    <mergeCell ref="L56:M56"/>
    <mergeCell ref="T56:U56"/>
    <mergeCell ref="K60:L60"/>
    <mergeCell ref="P60:Q60"/>
    <mergeCell ref="K70:L70"/>
    <mergeCell ref="M70:N70"/>
    <mergeCell ref="O70:S70"/>
    <mergeCell ref="K71:L71"/>
    <mergeCell ref="M71:N71"/>
    <mergeCell ref="O71:S71"/>
    <mergeCell ref="Q82:S82"/>
    <mergeCell ref="Q83:S83"/>
    <mergeCell ref="Q96:S96"/>
    <mergeCell ref="M82:N82"/>
    <mergeCell ref="M83:N83"/>
    <mergeCell ref="O82:P82"/>
    <mergeCell ref="O83:P83"/>
    <mergeCell ref="M94:N94"/>
    <mergeCell ref="O94:P94"/>
    <mergeCell ref="Q94:S94"/>
    <mergeCell ref="O92:P92"/>
    <mergeCell ref="Q92:S92"/>
    <mergeCell ref="M102:N102"/>
    <mergeCell ref="O102:P102"/>
    <mergeCell ref="Q102:S102"/>
    <mergeCell ref="M103:N103"/>
    <mergeCell ref="O103:P103"/>
    <mergeCell ref="Q103:S103"/>
    <mergeCell ref="M100:N100"/>
    <mergeCell ref="O100:P100"/>
    <mergeCell ref="Q100:S100"/>
    <mergeCell ref="M101:N101"/>
    <mergeCell ref="O101:P101"/>
    <mergeCell ref="Q101:S101"/>
    <mergeCell ref="M106:N106"/>
    <mergeCell ref="O106:P106"/>
    <mergeCell ref="Q106:S106"/>
    <mergeCell ref="M107:N107"/>
    <mergeCell ref="O107:P107"/>
    <mergeCell ref="Q107:S107"/>
    <mergeCell ref="M104:N104"/>
    <mergeCell ref="O104:P104"/>
    <mergeCell ref="Q104:S104"/>
    <mergeCell ref="M105:N105"/>
    <mergeCell ref="O105:P105"/>
    <mergeCell ref="Q105:S105"/>
    <mergeCell ref="M110:N110"/>
    <mergeCell ref="O110:P110"/>
    <mergeCell ref="Q110:S110"/>
    <mergeCell ref="M108:N108"/>
    <mergeCell ref="O108:P108"/>
    <mergeCell ref="Q108:S108"/>
    <mergeCell ref="M109:N109"/>
    <mergeCell ref="O109:P109"/>
    <mergeCell ref="Q109:S109"/>
  </mergeCells>
  <dataValidations count="1">
    <dataValidation type="whole" allowBlank="1" showInputMessage="1" showErrorMessage="1" sqref="O23">
      <formula1>12</formula1>
      <formula2>240</formula2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35" r:id="rId4" name="btn_ClearContent">
          <controlPr autoLine="0" autoPict="0" r:id="rId5">
            <anchor moveWithCells="1">
              <from>
                <xdr:col>16</xdr:col>
                <xdr:colOff>19050</xdr:colOff>
                <xdr:row>9</xdr:row>
                <xdr:rowOff>47625</xdr:rowOff>
              </from>
              <to>
                <xdr:col>17</xdr:col>
                <xdr:colOff>971550</xdr:colOff>
                <xdr:row>10</xdr:row>
                <xdr:rowOff>161925</xdr:rowOff>
              </to>
            </anchor>
          </controlPr>
        </control>
      </mc:Choice>
      <mc:Fallback>
        <control shapeId="1035" r:id="rId4" name="btn_ClearContent"/>
      </mc:Fallback>
    </mc:AlternateContent>
    <mc:AlternateContent xmlns:mc="http://schemas.openxmlformats.org/markup-compatibility/2006">
      <mc:Choice Requires="x14">
        <control shapeId="1025" r:id="rId6" name="btn_LoadInfo">
          <controlPr autoLine="0" r:id="rId7">
            <anchor moveWithCells="1">
              <from>
                <xdr:col>14</xdr:col>
                <xdr:colOff>19050</xdr:colOff>
                <xdr:row>9</xdr:row>
                <xdr:rowOff>66675</xdr:rowOff>
              </from>
              <to>
                <xdr:col>15</xdr:col>
                <xdr:colOff>1143000</xdr:colOff>
                <xdr:row>10</xdr:row>
                <xdr:rowOff>180975</xdr:rowOff>
              </to>
            </anchor>
          </controlPr>
        </control>
      </mc:Choice>
      <mc:Fallback>
        <control shapeId="1025" r:id="rId6" name="btn_LoadInf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Аркуш3"/>
  <dimension ref="A1:E67"/>
  <sheetViews>
    <sheetView workbookViewId="0">
      <selection activeCell="B24" sqref="B24"/>
    </sheetView>
  </sheetViews>
  <sheetFormatPr defaultRowHeight="15" x14ac:dyDescent="0.25"/>
  <cols>
    <col min="1" max="1" width="33.85546875" style="1" bestFit="1" customWidth="1"/>
    <col min="2" max="2" width="116.85546875" style="1" bestFit="1" customWidth="1"/>
    <col min="3" max="3" width="15.85546875" style="1" customWidth="1"/>
    <col min="4" max="4" width="9.140625" style="1"/>
    <col min="5" max="5" width="44.7109375" style="1" bestFit="1" customWidth="1"/>
    <col min="6" max="6" width="9.140625" style="1"/>
    <col min="7" max="7" width="18.7109375" style="1" bestFit="1" customWidth="1"/>
    <col min="8" max="8" width="9.140625" style="1"/>
    <col min="9" max="9" width="38" style="1" bestFit="1" customWidth="1"/>
    <col min="10" max="16384" width="9.140625" style="1"/>
  </cols>
  <sheetData>
    <row r="1" spans="1:3" x14ac:dyDescent="0.25">
      <c r="A1" s="1" t="s">
        <v>52</v>
      </c>
      <c r="B1" s="1" t="s">
        <v>53</v>
      </c>
      <c r="C1" s="1" t="s">
        <v>29</v>
      </c>
    </row>
    <row r="2" spans="1:3" x14ac:dyDescent="0.25">
      <c r="A2" s="2" t="s">
        <v>54</v>
      </c>
      <c r="B2" s="2" t="s">
        <v>55</v>
      </c>
      <c r="C2" s="1" t="s">
        <v>56</v>
      </c>
    </row>
    <row r="3" spans="1:3" x14ac:dyDescent="0.25">
      <c r="A3" s="2" t="s">
        <v>57</v>
      </c>
      <c r="B3" s="2" t="s">
        <v>58</v>
      </c>
      <c r="C3" s="1" t="s">
        <v>56</v>
      </c>
    </row>
    <row r="4" spans="1:3" x14ac:dyDescent="0.25">
      <c r="A4" s="2" t="s">
        <v>59</v>
      </c>
      <c r="B4" s="2" t="s">
        <v>60</v>
      </c>
      <c r="C4" s="1" t="s">
        <v>56</v>
      </c>
    </row>
    <row r="5" spans="1:3" x14ac:dyDescent="0.25">
      <c r="A5" s="2" t="s">
        <v>61</v>
      </c>
      <c r="B5" s="3" t="s">
        <v>62</v>
      </c>
      <c r="C5" s="1" t="s">
        <v>56</v>
      </c>
    </row>
    <row r="6" spans="1:3" x14ac:dyDescent="0.25">
      <c r="A6" s="2" t="s">
        <v>63</v>
      </c>
      <c r="B6" s="4" t="s">
        <v>64</v>
      </c>
      <c r="C6" s="1" t="s">
        <v>56</v>
      </c>
    </row>
    <row r="7" spans="1:3" x14ac:dyDescent="0.25">
      <c r="A7" s="2" t="s">
        <v>65</v>
      </c>
      <c r="B7" s="3" t="s">
        <v>66</v>
      </c>
      <c r="C7" s="1" t="s">
        <v>56</v>
      </c>
    </row>
    <row r="8" spans="1:3" x14ac:dyDescent="0.25">
      <c r="A8" s="2" t="s">
        <v>67</v>
      </c>
      <c r="B8" s="4" t="s">
        <v>68</v>
      </c>
      <c r="C8" s="1" t="s">
        <v>56</v>
      </c>
    </row>
    <row r="9" spans="1:3" x14ac:dyDescent="0.25">
      <c r="A9" s="2" t="s">
        <v>69</v>
      </c>
      <c r="B9" s="3" t="s">
        <v>70</v>
      </c>
      <c r="C9" s="1" t="s">
        <v>56</v>
      </c>
    </row>
    <row r="10" spans="1:3" x14ac:dyDescent="0.25">
      <c r="A10" s="2" t="s">
        <v>71</v>
      </c>
      <c r="B10" s="4" t="s">
        <v>72</v>
      </c>
      <c r="C10" s="1" t="s">
        <v>56</v>
      </c>
    </row>
    <row r="11" spans="1:3" x14ac:dyDescent="0.25">
      <c r="A11" s="2" t="s">
        <v>73</v>
      </c>
      <c r="B11" s="3" t="s">
        <v>74</v>
      </c>
      <c r="C11" s="1" t="s">
        <v>56</v>
      </c>
    </row>
    <row r="12" spans="1:3" x14ac:dyDescent="0.25">
      <c r="A12" s="2" t="s">
        <v>75</v>
      </c>
      <c r="B12" s="4" t="s">
        <v>76</v>
      </c>
      <c r="C12" s="1" t="s">
        <v>56</v>
      </c>
    </row>
    <row r="13" spans="1:3" x14ac:dyDescent="0.25">
      <c r="A13" s="2" t="s">
        <v>77</v>
      </c>
      <c r="B13" s="3" t="s">
        <v>78</v>
      </c>
      <c r="C13" s="1" t="s">
        <v>56</v>
      </c>
    </row>
    <row r="14" spans="1:3" x14ac:dyDescent="0.25">
      <c r="A14" s="2" t="s">
        <v>79</v>
      </c>
      <c r="B14" s="4" t="s">
        <v>80</v>
      </c>
      <c r="C14" s="1" t="s">
        <v>56</v>
      </c>
    </row>
    <row r="15" spans="1:3" x14ac:dyDescent="0.25">
      <c r="A15" s="2" t="s">
        <v>81</v>
      </c>
      <c r="B15" s="3" t="s">
        <v>82</v>
      </c>
      <c r="C15" s="1" t="s">
        <v>56</v>
      </c>
    </row>
    <row r="16" spans="1:3" x14ac:dyDescent="0.25">
      <c r="A16" s="2" t="s">
        <v>83</v>
      </c>
      <c r="B16" s="4" t="s">
        <v>84</v>
      </c>
      <c r="C16" s="1" t="s">
        <v>56</v>
      </c>
    </row>
    <row r="17" spans="1:5" x14ac:dyDescent="0.25">
      <c r="A17" s="2" t="s">
        <v>85</v>
      </c>
      <c r="B17" s="3" t="s">
        <v>86</v>
      </c>
      <c r="C17" s="1" t="s">
        <v>87</v>
      </c>
    </row>
    <row r="18" spans="1:5" x14ac:dyDescent="0.25">
      <c r="A18" s="2" t="s">
        <v>88</v>
      </c>
      <c r="B18" s="4" t="s">
        <v>89</v>
      </c>
      <c r="C18" s="1" t="s">
        <v>90</v>
      </c>
    </row>
    <row r="19" spans="1:5" x14ac:dyDescent="0.25">
      <c r="A19" s="2" t="s">
        <v>91</v>
      </c>
      <c r="B19" s="3" t="s">
        <v>92</v>
      </c>
      <c r="C19" s="1" t="s">
        <v>93</v>
      </c>
    </row>
    <row r="20" spans="1:5" x14ac:dyDescent="0.25">
      <c r="A20" s="39" t="s">
        <v>135</v>
      </c>
      <c r="B20" s="39" t="s">
        <v>136</v>
      </c>
      <c r="C20" s="1" t="s">
        <v>56</v>
      </c>
    </row>
    <row r="21" spans="1:5" x14ac:dyDescent="0.25">
      <c r="A21" s="50" t="s">
        <v>190</v>
      </c>
      <c r="B21" s="50" t="s">
        <v>193</v>
      </c>
      <c r="C21" s="50" t="s">
        <v>194</v>
      </c>
    </row>
    <row r="22" spans="1:5" x14ac:dyDescent="0.25">
      <c r="A22" s="50" t="s">
        <v>191</v>
      </c>
      <c r="B22" s="50" t="s">
        <v>195</v>
      </c>
      <c r="C22" s="50" t="s">
        <v>195</v>
      </c>
    </row>
    <row r="23" spans="1:5" x14ac:dyDescent="0.25">
      <c r="A23" s="50" t="s">
        <v>192</v>
      </c>
      <c r="B23" s="50" t="s">
        <v>196</v>
      </c>
      <c r="C23" s="50" t="s">
        <v>197</v>
      </c>
    </row>
    <row r="31" spans="1:5" x14ac:dyDescent="0.25">
      <c r="A31" s="43" t="s">
        <v>114</v>
      </c>
      <c r="B31" s="44" t="s">
        <v>121</v>
      </c>
      <c r="C31" s="44" t="s">
        <v>122</v>
      </c>
      <c r="D31" s="43" t="s">
        <v>115</v>
      </c>
      <c r="E31" s="45" t="s">
        <v>123</v>
      </c>
    </row>
    <row r="32" spans="1:5" x14ac:dyDescent="0.25">
      <c r="A32" s="43" t="s">
        <v>117</v>
      </c>
      <c r="B32" s="43" t="s">
        <v>118</v>
      </c>
      <c r="C32" s="43" t="s">
        <v>118</v>
      </c>
      <c r="D32" s="43">
        <v>0</v>
      </c>
      <c r="E32" s="46"/>
    </row>
    <row r="33" spans="1:5" x14ac:dyDescent="0.25">
      <c r="A33" s="47" t="s">
        <v>138</v>
      </c>
      <c r="B33" s="43" t="s">
        <v>120</v>
      </c>
      <c r="C33" s="43" t="s">
        <v>120</v>
      </c>
      <c r="D33" s="5">
        <v>15431</v>
      </c>
      <c r="E33" s="46" t="s">
        <v>187</v>
      </c>
    </row>
    <row r="34" spans="1:5" x14ac:dyDescent="0.25">
      <c r="A34" s="47" t="s">
        <v>139</v>
      </c>
      <c r="B34" s="43" t="s">
        <v>120</v>
      </c>
      <c r="C34" s="43" t="s">
        <v>120</v>
      </c>
      <c r="D34" s="5">
        <v>15383</v>
      </c>
      <c r="E34" s="46" t="s">
        <v>163</v>
      </c>
    </row>
    <row r="35" spans="1:5" x14ac:dyDescent="0.25">
      <c r="A35" s="47" t="s">
        <v>140</v>
      </c>
      <c r="B35" s="43" t="s">
        <v>119</v>
      </c>
      <c r="C35" s="44" t="s">
        <v>118</v>
      </c>
      <c r="D35" s="5">
        <v>15515</v>
      </c>
      <c r="E35" s="46" t="s">
        <v>164</v>
      </c>
    </row>
    <row r="36" spans="1:5" x14ac:dyDescent="0.25">
      <c r="A36" s="47" t="s">
        <v>141</v>
      </c>
      <c r="B36" s="43" t="s">
        <v>118</v>
      </c>
      <c r="C36" s="43" t="s">
        <v>118</v>
      </c>
      <c r="D36" s="5">
        <v>16809</v>
      </c>
      <c r="E36" s="46" t="s">
        <v>165</v>
      </c>
    </row>
    <row r="37" spans="1:5" x14ac:dyDescent="0.25">
      <c r="A37" s="47" t="s">
        <v>142</v>
      </c>
      <c r="B37" s="43" t="s">
        <v>120</v>
      </c>
      <c r="C37" s="43" t="s">
        <v>120</v>
      </c>
      <c r="D37" s="5">
        <v>14067</v>
      </c>
      <c r="E37" s="46" t="s">
        <v>166</v>
      </c>
    </row>
    <row r="38" spans="1:5" x14ac:dyDescent="0.25">
      <c r="A38" s="47" t="s">
        <v>143</v>
      </c>
      <c r="B38" s="43" t="s">
        <v>120</v>
      </c>
      <c r="C38" s="43" t="s">
        <v>120</v>
      </c>
      <c r="D38" s="5">
        <v>13892</v>
      </c>
      <c r="E38" s="46" t="s">
        <v>167</v>
      </c>
    </row>
    <row r="39" spans="1:5" x14ac:dyDescent="0.25">
      <c r="A39" s="47" t="s">
        <v>144</v>
      </c>
      <c r="B39" s="48" t="s">
        <v>118</v>
      </c>
      <c r="C39" s="43" t="s">
        <v>118</v>
      </c>
      <c r="D39" s="5">
        <v>15499</v>
      </c>
      <c r="E39" s="46" t="s">
        <v>168</v>
      </c>
    </row>
    <row r="40" spans="1:5" x14ac:dyDescent="0.25">
      <c r="A40" s="47" t="s">
        <v>145</v>
      </c>
      <c r="B40" s="43" t="s">
        <v>120</v>
      </c>
      <c r="C40" s="43" t="s">
        <v>120</v>
      </c>
      <c r="D40" s="5">
        <v>14390</v>
      </c>
      <c r="E40" s="46" t="s">
        <v>169</v>
      </c>
    </row>
    <row r="41" spans="1:5" x14ac:dyDescent="0.25">
      <c r="A41" s="47" t="s">
        <v>146</v>
      </c>
      <c r="B41" s="43" t="s">
        <v>120</v>
      </c>
      <c r="C41" s="43" t="s">
        <v>120</v>
      </c>
      <c r="D41" s="5">
        <v>15983</v>
      </c>
      <c r="E41" s="46" t="s">
        <v>183</v>
      </c>
    </row>
    <row r="42" spans="1:5" x14ac:dyDescent="0.25">
      <c r="A42" s="47" t="s">
        <v>147</v>
      </c>
      <c r="B42" s="43" t="s">
        <v>120</v>
      </c>
      <c r="C42" s="43" t="s">
        <v>120</v>
      </c>
      <c r="D42" s="5">
        <v>13601</v>
      </c>
      <c r="E42" s="46" t="s">
        <v>170</v>
      </c>
    </row>
    <row r="43" spans="1:5" x14ac:dyDescent="0.25">
      <c r="A43" s="47" t="s">
        <v>148</v>
      </c>
      <c r="B43" s="43" t="s">
        <v>118</v>
      </c>
      <c r="C43" s="43" t="s">
        <v>118</v>
      </c>
      <c r="D43" s="5">
        <v>15351</v>
      </c>
      <c r="E43" s="46" t="s">
        <v>171</v>
      </c>
    </row>
    <row r="44" spans="1:5" x14ac:dyDescent="0.25">
      <c r="A44" s="47" t="s">
        <v>149</v>
      </c>
      <c r="B44" s="43" t="s">
        <v>120</v>
      </c>
      <c r="C44" s="43" t="s">
        <v>120</v>
      </c>
      <c r="D44" s="5">
        <v>15916</v>
      </c>
      <c r="E44" s="46" t="s">
        <v>172</v>
      </c>
    </row>
    <row r="45" spans="1:5" x14ac:dyDescent="0.25">
      <c r="A45" s="43" t="s">
        <v>51</v>
      </c>
      <c r="B45" s="43" t="s">
        <v>120</v>
      </c>
      <c r="C45" s="43" t="s">
        <v>120</v>
      </c>
      <c r="D45" s="5">
        <v>18704</v>
      </c>
      <c r="E45" s="46" t="s">
        <v>184</v>
      </c>
    </row>
    <row r="46" spans="1:5" x14ac:dyDescent="0.25">
      <c r="A46" s="47" t="s">
        <v>150</v>
      </c>
      <c r="B46" s="43" t="s">
        <v>118</v>
      </c>
      <c r="C46" s="43" t="s">
        <v>118</v>
      </c>
      <c r="D46" s="43">
        <v>0</v>
      </c>
      <c r="E46" s="46"/>
    </row>
    <row r="47" spans="1:5" x14ac:dyDescent="0.25">
      <c r="A47" s="47" t="s">
        <v>151</v>
      </c>
      <c r="B47" s="44" t="s">
        <v>119</v>
      </c>
      <c r="C47" s="43" t="s">
        <v>118</v>
      </c>
      <c r="D47" s="5">
        <v>15979</v>
      </c>
      <c r="E47" s="46" t="s">
        <v>182</v>
      </c>
    </row>
    <row r="48" spans="1:5" x14ac:dyDescent="0.25">
      <c r="A48" s="47" t="s">
        <v>152</v>
      </c>
      <c r="B48" s="43" t="s">
        <v>120</v>
      </c>
      <c r="C48" s="43" t="s">
        <v>120</v>
      </c>
      <c r="D48" s="5">
        <v>15331</v>
      </c>
      <c r="E48" s="46" t="s">
        <v>186</v>
      </c>
    </row>
    <row r="49" spans="1:5" x14ac:dyDescent="0.25">
      <c r="A49" s="47" t="s">
        <v>153</v>
      </c>
      <c r="B49" s="43" t="s">
        <v>120</v>
      </c>
      <c r="C49" s="43" t="s">
        <v>120</v>
      </c>
      <c r="D49" s="5">
        <v>14229</v>
      </c>
      <c r="E49" s="46" t="s">
        <v>173</v>
      </c>
    </row>
    <row r="50" spans="1:5" x14ac:dyDescent="0.25">
      <c r="A50" s="47" t="s">
        <v>154</v>
      </c>
      <c r="B50" s="43" t="s">
        <v>120</v>
      </c>
      <c r="C50" s="43" t="s">
        <v>120</v>
      </c>
      <c r="D50" s="5">
        <v>15718</v>
      </c>
      <c r="E50" s="46" t="s">
        <v>174</v>
      </c>
    </row>
    <row r="51" spans="1:5" x14ac:dyDescent="0.25">
      <c r="A51" s="47" t="s">
        <v>155</v>
      </c>
      <c r="B51" s="44" t="s">
        <v>119</v>
      </c>
      <c r="C51" s="48" t="s">
        <v>118</v>
      </c>
      <c r="D51" s="5">
        <v>15013</v>
      </c>
      <c r="E51" s="46" t="s">
        <v>175</v>
      </c>
    </row>
    <row r="52" spans="1:5" x14ac:dyDescent="0.25">
      <c r="A52" s="47" t="s">
        <v>156</v>
      </c>
      <c r="B52" s="43" t="s">
        <v>120</v>
      </c>
      <c r="C52" s="43" t="s">
        <v>120</v>
      </c>
      <c r="D52" s="5">
        <v>15000</v>
      </c>
      <c r="E52" s="46" t="s">
        <v>176</v>
      </c>
    </row>
    <row r="53" spans="1:5" x14ac:dyDescent="0.25">
      <c r="A53" s="47" t="s">
        <v>157</v>
      </c>
      <c r="B53" s="43" t="s">
        <v>118</v>
      </c>
      <c r="C53" s="43" t="s">
        <v>118</v>
      </c>
      <c r="D53" s="5">
        <v>16820</v>
      </c>
      <c r="E53" s="46" t="s">
        <v>177</v>
      </c>
    </row>
    <row r="54" spans="1:5" x14ac:dyDescent="0.25">
      <c r="A54" s="47" t="s">
        <v>158</v>
      </c>
      <c r="B54" s="43" t="s">
        <v>118</v>
      </c>
      <c r="C54" s="43" t="s">
        <v>118</v>
      </c>
      <c r="D54" s="5">
        <v>14560</v>
      </c>
      <c r="E54" s="46" t="s">
        <v>178</v>
      </c>
    </row>
    <row r="55" spans="1:5" x14ac:dyDescent="0.25">
      <c r="A55" s="47" t="s">
        <v>159</v>
      </c>
      <c r="B55" s="43" t="s">
        <v>120</v>
      </c>
      <c r="C55" s="43" t="s">
        <v>120</v>
      </c>
      <c r="D55" s="5">
        <v>15401</v>
      </c>
      <c r="E55" s="46" t="s">
        <v>179</v>
      </c>
    </row>
    <row r="56" spans="1:5" x14ac:dyDescent="0.25">
      <c r="A56" s="47" t="s">
        <v>160</v>
      </c>
      <c r="B56" s="43" t="s">
        <v>120</v>
      </c>
      <c r="C56" s="43" t="s">
        <v>120</v>
      </c>
      <c r="D56" s="5">
        <v>15762</v>
      </c>
      <c r="E56" s="46" t="s">
        <v>180</v>
      </c>
    </row>
    <row r="57" spans="1:5" x14ac:dyDescent="0.25">
      <c r="A57" s="47" t="s">
        <v>161</v>
      </c>
      <c r="B57" s="43" t="s">
        <v>120</v>
      </c>
      <c r="C57" s="43" t="s">
        <v>120</v>
      </c>
      <c r="D57" s="5">
        <v>14813</v>
      </c>
      <c r="E57" s="46" t="s">
        <v>185</v>
      </c>
    </row>
    <row r="58" spans="1:5" x14ac:dyDescent="0.25">
      <c r="A58" s="47" t="s">
        <v>162</v>
      </c>
      <c r="B58" s="43" t="s">
        <v>119</v>
      </c>
      <c r="C58" s="48" t="s">
        <v>118</v>
      </c>
      <c r="D58" s="5">
        <v>16023</v>
      </c>
      <c r="E58" s="46" t="s">
        <v>181</v>
      </c>
    </row>
    <row r="59" spans="1:5" x14ac:dyDescent="0.25">
      <c r="A59" s="1" t="s">
        <v>116</v>
      </c>
      <c r="D59" s="1">
        <v>16003</v>
      </c>
    </row>
    <row r="62" spans="1:5" x14ac:dyDescent="0.25">
      <c r="A62" s="36" t="s">
        <v>129</v>
      </c>
      <c r="B62" s="36" t="s">
        <v>16</v>
      </c>
    </row>
    <row r="63" spans="1:5" x14ac:dyDescent="0.25">
      <c r="A63" s="37" t="s">
        <v>130</v>
      </c>
      <c r="B63" s="1">
        <v>0.1799</v>
      </c>
    </row>
    <row r="64" spans="1:5" x14ac:dyDescent="0.25">
      <c r="A64" s="36" t="s">
        <v>131</v>
      </c>
      <c r="B64" s="1">
        <v>0.1</v>
      </c>
    </row>
    <row r="65" spans="1:2" x14ac:dyDescent="0.25">
      <c r="A65" s="36" t="s">
        <v>132</v>
      </c>
      <c r="B65" s="1">
        <v>0.56000000000000005</v>
      </c>
    </row>
    <row r="66" spans="1:2" x14ac:dyDescent="0.25">
      <c r="A66" s="36" t="s">
        <v>133</v>
      </c>
      <c r="B66" s="1">
        <v>0.46800000000000003</v>
      </c>
    </row>
    <row r="67" spans="1:2" x14ac:dyDescent="0.25">
      <c r="A67" s="36" t="s">
        <v>134</v>
      </c>
      <c r="B67" s="1">
        <v>0.46800000000000003</v>
      </c>
    </row>
  </sheetData>
  <sortState ref="A32:C58">
    <sortCondition ref="A32:A58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Аркуші</vt:lpstr>
      </vt:variant>
      <vt:variant>
        <vt:i4>2</vt:i4>
      </vt:variant>
      <vt:variant>
        <vt:lpstr>Іменовані діапазони</vt:lpstr>
      </vt:variant>
      <vt:variant>
        <vt:i4>80</vt:i4>
      </vt:variant>
    </vt:vector>
  </HeadingPairs>
  <TitlesOfParts>
    <vt:vector size="82" baseType="lpstr">
      <vt:lpstr>Кредитна заявка</vt:lpstr>
      <vt:lpstr>dicts</vt:lpstr>
      <vt:lpstr>Addresses</vt:lpstr>
      <vt:lpstr>Age</vt:lpstr>
      <vt:lpstr>ageEnd</vt:lpstr>
      <vt:lpstr>AppDT</vt:lpstr>
      <vt:lpstr>ApplicationId</vt:lpstr>
      <vt:lpstr>areActRecords</vt:lpstr>
      <vt:lpstr>birthDate</vt:lpstr>
      <vt:lpstr>category</vt:lpstr>
      <vt:lpstr>children</vt:lpstr>
      <vt:lpstr>childrenNumber</vt:lpstr>
      <vt:lpstr>currentExp</vt:lpstr>
      <vt:lpstr>dict_Activities</vt:lpstr>
      <vt:lpstr>dict_products</vt:lpstr>
      <vt:lpstr>dict_Regions</vt:lpstr>
      <vt:lpstr>email</vt:lpstr>
      <vt:lpstr>existConditions</vt:lpstr>
      <vt:lpstr>existDecision</vt:lpstr>
      <vt:lpstr>firstName</vt:lpstr>
      <vt:lpstr>Incomes</vt:lpstr>
      <vt:lpstr>isCreditHistory</vt:lpstr>
      <vt:lpstr>isMortgage</vt:lpstr>
      <vt:lpstr>isPhoneCalls</vt:lpstr>
      <vt:lpstr>isSendData</vt:lpstr>
      <vt:lpstr>lastName</vt:lpstr>
      <vt:lpstr>lastPaym</vt:lpstr>
      <vt:lpstr>maritalStatus</vt:lpstr>
      <vt:lpstr>middleName</vt:lpstr>
      <vt:lpstr>Nationality</vt:lpstr>
      <vt:lpstr>Passposts</vt:lpstr>
      <vt:lpstr>pensAmount</vt:lpstr>
      <vt:lpstr>pensEnd</vt:lpstr>
      <vt:lpstr>pensLast</vt:lpstr>
      <vt:lpstr>pensStart</vt:lpstr>
      <vt:lpstr>pensType</vt:lpstr>
      <vt:lpstr>phoneNumber</vt:lpstr>
      <vt:lpstr>Property</vt:lpstr>
      <vt:lpstr>reqAdvancePers</vt:lpstr>
      <vt:lpstr>reqAdvanceUAH</vt:lpstr>
      <vt:lpstr>reqCollateral</vt:lpstr>
      <vt:lpstr>reqCollateralCity</vt:lpstr>
      <vt:lpstr>reqCollateralDistrict</vt:lpstr>
      <vt:lpstr>reqCollateralRegion</vt:lpstr>
      <vt:lpstr>reqIR</vt:lpstr>
      <vt:lpstr>reqLoanAmount</vt:lpstr>
      <vt:lpstr>reqLoanType</vt:lpstr>
      <vt:lpstr>resAdvancePers</vt:lpstr>
      <vt:lpstr>resAdvanceUAH</vt:lpstr>
      <vt:lpstr>resLoanAmount</vt:lpstr>
      <vt:lpstr>resTerm</vt:lpstr>
      <vt:lpstr>searchApp</vt:lpstr>
      <vt:lpstr>spouse_Addresses</vt:lpstr>
      <vt:lpstr>spouse_Age</vt:lpstr>
      <vt:lpstr>spouse_AgeEnd</vt:lpstr>
      <vt:lpstr>spouse_areActRecords</vt:lpstr>
      <vt:lpstr>spouse_birthDate</vt:lpstr>
      <vt:lpstr>spouse_currentExp</vt:lpstr>
      <vt:lpstr>spouse_email</vt:lpstr>
      <vt:lpstr>spouse_firstName</vt:lpstr>
      <vt:lpstr>spouse_Incomes</vt:lpstr>
      <vt:lpstr>spouse_isCreditHistory</vt:lpstr>
      <vt:lpstr>spouse_isMortgage</vt:lpstr>
      <vt:lpstr>spouse_isPhoneCalls</vt:lpstr>
      <vt:lpstr>spouse_isSendData</vt:lpstr>
      <vt:lpstr>spouse_lastName</vt:lpstr>
      <vt:lpstr>spouse_lastPaym</vt:lpstr>
      <vt:lpstr>spouse_middleName</vt:lpstr>
      <vt:lpstr>spouse_Nationality</vt:lpstr>
      <vt:lpstr>spouse_Passposts</vt:lpstr>
      <vt:lpstr>spouse_pensAmount</vt:lpstr>
      <vt:lpstr>spouse_pensEnd</vt:lpstr>
      <vt:lpstr>spouse_pensLast</vt:lpstr>
      <vt:lpstr>spouse_pensStart</vt:lpstr>
      <vt:lpstr>spouse_pensType</vt:lpstr>
      <vt:lpstr>spouse_phoneNumber</vt:lpstr>
      <vt:lpstr>spouse_taxNumber</vt:lpstr>
      <vt:lpstr>subcategory</vt:lpstr>
      <vt:lpstr>taxNumber</vt:lpstr>
      <vt:lpstr>TotalExpDay</vt:lpstr>
      <vt:lpstr>totalExpMonth</vt:lpstr>
      <vt:lpstr>totalExpYears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2015-06-05T18:19:34Z</dcterms:created>
  <dcterms:modified xsi:type="dcterms:W3CDTF">2025-08-14T09:07:28Z</dcterms:modified>
</cp:coreProperties>
</file>